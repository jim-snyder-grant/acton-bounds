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<sst xmlns="http://schemas.openxmlformats.org/spreadsheetml/2006/main" count="918" uniqueCount="531">
  <si>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</si>
  <si>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</si>
  <si>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</si>
  <si>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</si>
  <si>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</si>
  <si>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</si>
  <si>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</si>
  <si>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</si>
  <si>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</si>
  <si>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</si>
  <si>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</si>
  <si>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</si>
  <si>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</si>
  <si>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</si>
  <si>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</si>
  <si>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</si>
  <si>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</si>
  <si>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</si>
  <si>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</si>
  <si>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</si>
  <si>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</si>
  <si>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</si>
  <si>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</si>
  <si>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</si>
  <si>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</si>
  <si>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</si>
  <si>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</si>
  <si>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</si>
  <si>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</si>
  <si>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</si>
  <si>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</si>
  <si>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</si>
  <si>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</si>
  <si>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</si>
  <si>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</si>
  <si>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</si>
  <si>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</si>
  <si>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</si>
  <si>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</si>
  <si>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</si>
  <si>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</si>
  <si>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</si>
  <si>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</si>
  <si>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</si>
  <si>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</si>
  <si>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</si>
  <si>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</si>
  <si>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</si>
  <si>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</si>
  <si>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</si>
  <si>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</si>
  <si>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</si>
  <si>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</si>
  <si>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</si>
  <si>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</si>
  <si>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</si>
  <si>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</si>
  <si>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</si>
  <si>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</si>
  <si>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</si>
  <si>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</si>
  <si>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</si>
  <si>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</si>
  <si>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</si>
  <si>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</si>
  <si>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</si>
  <si>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</si>
  <si>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</si>
  <si>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</si>
  <si>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</si>
  <si>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</si>
  <si>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</si>
  <si>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</si>
  <si>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</si>
  <si>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</si>
  <si>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</si>
  <si>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</si>
  <si>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</si>
  <si>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</si>
  <si>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</si>
  <si>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</si>
  <si>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</si>
  <si>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</si>
  <si>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</si>
  <si>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</si>
  <si>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survive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</si>
  <si>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</si>
  <si>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</si>
  <si>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</si>
  <si>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</si>
  <si>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</si>
  <si>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</si>
  <si>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</si>
  <si>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</si>
  <si>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</si>
  <si>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</si>
  <si>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</si>
  <si>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</si>
  <si>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</si>
  <si>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</si>
  <si>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</si>
  <si>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</si>
  <si>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</si>
  <si>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</si>
  <si>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</si>
  <si>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</si>
  <si>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</si>
  <si>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</si>
  <si>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</si>
  <si>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</si>
  <si>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</si>
  <si>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</si>
  <si>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</si>
  <si>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</si>
  <si>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</si>
  <si>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</si>
  <si>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</si>
  <si>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</si>
  <si>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</si>
  <si>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</si>
  <si>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</si>
  <si>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</si>
  <si>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</si>
  <si>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</si>
  <si>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</si>
  <si>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</si>
  <si>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</si>
  <si>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</si>
  <si>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</si>
  <si>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</si>
  <si>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</si>
  <si>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</si>
  <si>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</si>
  <si>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</si>
  <si>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</si>
  <si>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</si>
  <si>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</si>
  <si>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</si>
  <si>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</si>
  <si>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</si>
  <si>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</si>
  <si>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</si>
  <si>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</si>
  <si>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</si>
  <si>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</si>
  <si>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</si>
  <si>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</si>
  <si>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</si>
  <si>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</si>
  <si>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</si>
  <si>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</si>
  <si>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</si>
  <si>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</si>
  <si>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</si>
  <si>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</si>
  <si>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</si>
  <si>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</si>
  <si>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</si>
  <si>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</si>
  <si>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</si>
  <si>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</si>
  <si>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</si>
  <si>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</si>
  <si>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</si>
  <si>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</si>
  <si>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</si>
  <si>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</si>
  <si>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</si>
  <si>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</si>
  <si>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</si>
  <si>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</si>
  <si>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</si>
  <si>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</si>
  <si>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</si>
  <si>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</si>
  <si>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</si>
  <si>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</si>
  <si>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</si>
  <si>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</si>
  <si>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</si>
  <si>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</si>
  <si>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</si>
  <si>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</si>
  <si>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</si>
  <si>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</si>
  <si>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</si>
  <si>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</si>
  <si>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</si>
  <si>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</si>
  <si>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</si>
  <si>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</si>
  <si>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</si>
  <si>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</si>
  <si>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</si>
  <si>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</si>
  <si>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</si>
  <si>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</si>
  <si>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</si>
  <si>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</si>
  <si>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</si>
  <si>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The easterly and westerly sides of the Cash road</t>
  </si>
  <si>
    <t>Mark R. phone</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</si>
  <si>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</si>
  <si>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</si>
  <si>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</si>
  <si>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</si>
  <si>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</si>
  <si>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</si>
  <si>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</si>
  <si>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</si>
  <si>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</si>
  <si>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</si>
  <si>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</si>
  <si>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</si>
  <si>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</si>
  <si>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</si>
  <si>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</si>
  <si>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</si>
  <si>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</si>
  <si>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</si>
  <si>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</si>
  <si>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</si>
  <si>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</si>
  <si>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</si>
  <si>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</si>
  <si>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Find maps of old path of road, and survey.</t>
  </si>
  <si>
    <t>W B Marker on Fort Pond Road</t>
  </si>
  <si>
    <t>W B Marker</t>
  </si>
  <si>
    <t xml:space="preserve">W B likely stands for Witness Bound, which were placed when a monument can't be placed at the actual location. </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</si>
  <si>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</si>
  <si>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</si>
  <si>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</si>
  <si>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</si>
  <si>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</si>
  <si>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</si>
  <si>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</si>
  <si>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</si>
  <si>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</si>
  <si>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</si>
  <si>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</si>
  <si>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</si>
  <si>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</si>
  <si>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</si>
  <si>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</si>
  <si>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</si>
  <si>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</si>
  <si>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</si>
  <si>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</si>
  <si>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</si>
  <si>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</si>
  <si>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</si>
  <si>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</si>
  <si>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</si>
  <si>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</si>
  <si>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</si>
  <si>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</si>
  <si>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</si>
  <si>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</si>
  <si>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</si>
  <si>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</si>
  <si>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</si>
  <si>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</si>
  <si>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</si>
  <si>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</si>
  <si>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</si>
  <si>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</si>
  <si>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</si>
  <si>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</si>
  <si>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</si>
  <si>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</si>
  <si>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</si>
  <si>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</si>
  <si>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</si>
  <si>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</si>
  <si>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</si>
  <si>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</si>
  <si>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</si>
  <si>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</si>
  <si>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</si>
  <si>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</si>
  <si>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</si>
  <si>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</si>
  <si>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</si>
  <si>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</si>
  <si>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</si>
  <si>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</si>
  <si>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</si>
  <si>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</si>
  <si>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</si>
  <si>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</si>
  <si>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</si>
  <si>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</si>
  <si>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</si>
  <si>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</si>
  <si>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</si>
  <si>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</si>
  <si>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</si>
  <si>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</si>
  <si>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</si>
  <si>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</si>
  <si>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</si>
  <si>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</si>
  <si>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</si>
  <si>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</si>
  <si>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</si>
  <si>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</si>
  <si>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</si>
  <si>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</si>
  <si>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</si>
  <si>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</si>
  <si>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</si>
  <si>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</si>
  <si>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</si>
  <si>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</si>
  <si>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</si>
  <si>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</si>
  <si>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</si>
  <si>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</si>
  <si>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Where Westford Lane gets to Westford. There is a corner behind a fence with many stones. Might be in there?</t>
  </si>
  <si>
    <t>42.527574</t>
  </si>
  <si>
    <t>-71.426329</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</si>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</sst>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2"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if(isblank(X4),"",abs(trunc(X4)))</f>
        <v>71</v>
      </c>
      <c r="Z4" s="18">
        <f>if(isblank(X4),"",trunc(abs(X4-trunc(X4))*60))</f>
        <v>29</v>
      </c>
      <c r="AA4" s="19">
        <f>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3">
        <v>71.0</v>
      </c>
      <c r="Z5" s="21">
        <v>28.0</v>
      </c>
      <c r="AA5" s="22">
        <v>35.0</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if(isblank(X6),"",abs(trunc(X6)))</f>
        <v>71</v>
      </c>
      <c r="Z6" s="18">
        <f>if(isblank(X6),"",trunc(abs(X6-trunc(X6))*60))</f>
        <v>29</v>
      </c>
      <c r="AA6" s="19">
        <f>if(isblank(X6),"",(abs(X6) -(Y6+Z6/60))*60*60)</f>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5">
        <v>42.5001860150001</v>
      </c>
      <c r="U7" s="5">
        <f t="shared" ref="U7:U10" si="9">abs(trunc(T7))</f>
        <v>42</v>
      </c>
      <c r="V7" s="18">
        <f t="shared" ref="V7:V10" si="10">trunc(abs(T7-trunc(T7))*60)</f>
        <v>30</v>
      </c>
      <c r="W7" s="19">
        <f t="shared" ref="W7:W10" si="11">(T7 -(U7+V7/60))*60*60</f>
        <v>0.6696540003</v>
      </c>
      <c r="X7" s="5">
        <v>-71.473529496</v>
      </c>
      <c r="Y7" s="5">
        <f t="shared" ref="Y7:Y10" si="12">abs(trunc(X7))</f>
        <v>71</v>
      </c>
      <c r="Z7" s="18">
        <f t="shared" ref="Z7:Z10" si="13">trunc(abs(X7-trunc(X7))*60)</f>
        <v>28</v>
      </c>
      <c r="AA7" s="19">
        <f t="shared" ref="AA7:AA10" si="14">(abs(X7)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9"/>
        <v>42</v>
      </c>
      <c r="V8" s="18">
        <f t="shared" si="10"/>
        <v>27</v>
      </c>
      <c r="W8" s="19">
        <f t="shared" si="11"/>
        <v>49.6215036</v>
      </c>
      <c r="X8" s="5">
        <v>-71.498547705</v>
      </c>
      <c r="Y8" s="5">
        <f t="shared" si="12"/>
        <v>71</v>
      </c>
      <c r="Z8" s="18">
        <f t="shared" si="13"/>
        <v>29</v>
      </c>
      <c r="AA8" s="19">
        <f t="shared" si="14"/>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9"/>
        <v>42</v>
      </c>
      <c r="V9" s="18">
        <f t="shared" si="10"/>
        <v>30</v>
      </c>
      <c r="W9" s="19">
        <f t="shared" si="11"/>
        <v>24.5833488</v>
      </c>
      <c r="X9" s="5">
        <v>-71.391564186</v>
      </c>
      <c r="Y9" s="5">
        <f t="shared" si="12"/>
        <v>71</v>
      </c>
      <c r="Z9" s="18">
        <f t="shared" si="13"/>
        <v>23</v>
      </c>
      <c r="AA9" s="19">
        <f t="shared" si="14"/>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9"/>
        <v>42</v>
      </c>
      <c r="V10" s="18">
        <f t="shared" si="10"/>
        <v>31</v>
      </c>
      <c r="W10" s="19">
        <f t="shared" si="11"/>
        <v>34.8413052</v>
      </c>
      <c r="X10" s="5">
        <v>-71.397947145</v>
      </c>
      <c r="Y10" s="5">
        <f t="shared" si="12"/>
        <v>71</v>
      </c>
      <c r="Z10" s="18">
        <f t="shared" si="13"/>
        <v>23</v>
      </c>
      <c r="AA10" s="19">
        <f t="shared" si="14"/>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v>
      </c>
      <c r="B13" s="3" t="s">
        <v>82</v>
      </c>
      <c r="F13" s="3" t="s">
        <v>53</v>
      </c>
      <c r="G13" s="3" t="s">
        <v>53</v>
      </c>
      <c r="K13" s="1" t="s">
        <v>115</v>
      </c>
      <c r="L13" s="1"/>
      <c r="M13" s="1" t="s">
        <v>116</v>
      </c>
      <c r="N13" s="1" t="s">
        <v>13</v>
      </c>
      <c r="O13" s="15">
        <v>45838.0</v>
      </c>
      <c r="P13" s="1" t="s">
        <v>117</v>
      </c>
      <c r="Q13" s="1" t="s">
        <v>118</v>
      </c>
      <c r="R13" s="1" t="s">
        <v>119</v>
      </c>
      <c r="S13" s="3" t="s">
        <v>69</v>
      </c>
      <c r="T13" s="3">
        <v>42.504159</v>
      </c>
      <c r="U13" s="5">
        <f t="shared" ref="U13:U14" si="15">abs(trunc(T13))</f>
        <v>42</v>
      </c>
      <c r="V13" s="18">
        <f t="shared" ref="V13:V14" si="16">trunc(abs(T13-trunc(T13))*60)</f>
        <v>30</v>
      </c>
      <c r="W13" s="19">
        <f t="shared" ref="W13:W14" si="17">(T13 -(U13+V13/60))*60*60</f>
        <v>14.9724</v>
      </c>
      <c r="X13" s="3">
        <v>-71.385158</v>
      </c>
      <c r="Y13" s="5">
        <f t="shared" ref="Y13:Y17" si="18">abs(trunc(X13))</f>
        <v>71</v>
      </c>
      <c r="Z13" s="18">
        <f t="shared" ref="Z13:Z17" si="19">trunc(abs(X13-trunc(X13))*60)</f>
        <v>23</v>
      </c>
      <c r="AA13" s="19">
        <f t="shared" ref="AA13:AA17" si="20">(abs(X13)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120</v>
      </c>
      <c r="N14" s="1" t="s">
        <v>13</v>
      </c>
      <c r="O14" s="15">
        <v>45838.0</v>
      </c>
      <c r="P14" s="1" t="s">
        <v>121</v>
      </c>
      <c r="Q14" s="16" t="s">
        <v>122</v>
      </c>
      <c r="R14" s="1"/>
      <c r="S14" s="3" t="s">
        <v>87</v>
      </c>
      <c r="T14" s="5">
        <v>42.534025086</v>
      </c>
      <c r="U14" s="5">
        <f t="shared" si="15"/>
        <v>42</v>
      </c>
      <c r="V14" s="18">
        <f t="shared" si="16"/>
        <v>32</v>
      </c>
      <c r="W14" s="19">
        <f t="shared" si="17"/>
        <v>2.4903096</v>
      </c>
      <c r="X14" s="5">
        <v>-71.399515336</v>
      </c>
      <c r="Y14" s="5">
        <f t="shared" si="18"/>
        <v>71</v>
      </c>
      <c r="Z14" s="18">
        <f t="shared" si="19"/>
        <v>23</v>
      </c>
      <c r="AA14" s="19">
        <f t="shared" si="20"/>
        <v>58.2552096</v>
      </c>
      <c r="AB14" s="20" t="str">
        <f t="shared" si="8"/>
        <v>https://openstreetmap.org/?mlat=42.534025086&amp;mlon=-71.399515336#map=16/42.534025086/-71.399515336</v>
      </c>
      <c r="AD14" s="21">
        <v>17.0</v>
      </c>
    </row>
    <row r="15">
      <c r="A15" s="1" t="str">
        <f t="shared" si="1"/>
        <v>Acton/Concord Great Road</v>
      </c>
      <c r="B15" s="3" t="s">
        <v>52</v>
      </c>
      <c r="G15" s="3" t="s">
        <v>53</v>
      </c>
      <c r="K15" s="1" t="s">
        <v>123</v>
      </c>
      <c r="L15" s="1"/>
      <c r="M15" s="1" t="s">
        <v>124</v>
      </c>
      <c r="N15" s="1" t="s">
        <v>13</v>
      </c>
      <c r="O15" s="15">
        <v>45838.0</v>
      </c>
      <c r="P15" s="4"/>
      <c r="Q15" s="16" t="s">
        <v>125</v>
      </c>
      <c r="R15" s="1" t="s">
        <v>126</v>
      </c>
      <c r="S15" s="3" t="s">
        <v>57</v>
      </c>
      <c r="T15" s="17" t="s">
        <v>127</v>
      </c>
      <c r="U15" s="5">
        <f t="shared" ref="U15:U17" si="21">if(isblank(T15),"",abs(trunc(T15)))</f>
        <v>42</v>
      </c>
      <c r="V15" s="18">
        <f t="shared" ref="V15:V17" si="22">if(isblank(T15),"",trunc(abs(T15-trunc(T15))*60))</f>
        <v>28</v>
      </c>
      <c r="W15" s="19">
        <f t="shared" ref="W15:W17" si="23">if(isblank(T15),"",(T15 -(U15+V15/60))*60*60)</f>
        <v>24.114</v>
      </c>
      <c r="X15" s="24" t="s">
        <v>128</v>
      </c>
      <c r="Y15" s="5">
        <f t="shared" si="18"/>
        <v>71</v>
      </c>
      <c r="Z15" s="18">
        <f t="shared" si="19"/>
        <v>24</v>
      </c>
      <c r="AA15" s="19">
        <f t="shared" si="20"/>
        <v>21.2148</v>
      </c>
      <c r="AB15" s="20" t="str">
        <f t="shared" si="8"/>
        <v>https://openstreetmap.org/?mlat=42.473365&amp;mlon=-71.405893#map=16/42.473365/-71.405893</v>
      </c>
      <c r="AD15" s="21">
        <v>8.0</v>
      </c>
    </row>
    <row r="16">
      <c r="A16" s="1" t="str">
        <f t="shared" si="1"/>
        <v>Acton/Concord Keefe Road</v>
      </c>
      <c r="B16" s="3" t="s">
        <v>52</v>
      </c>
      <c r="G16" s="3" t="s">
        <v>53</v>
      </c>
      <c r="K16" s="1" t="s">
        <v>129</v>
      </c>
      <c r="L16" s="1" t="s">
        <v>123</v>
      </c>
      <c r="M16" s="1" t="s">
        <v>130</v>
      </c>
      <c r="N16" s="1" t="s">
        <v>11</v>
      </c>
      <c r="O16" s="15">
        <v>45989.0</v>
      </c>
      <c r="P16" s="1" t="s">
        <v>131</v>
      </c>
      <c r="Q16" s="1" t="s">
        <v>132</v>
      </c>
      <c r="R16" s="1" t="s">
        <v>133</v>
      </c>
      <c r="S16" s="3" t="s">
        <v>57</v>
      </c>
      <c r="T16" s="25" t="s">
        <v>134</v>
      </c>
      <c r="U16" s="5">
        <f t="shared" si="21"/>
        <v>42</v>
      </c>
      <c r="V16" s="18">
        <f t="shared" si="22"/>
        <v>28</v>
      </c>
      <c r="W16" s="19">
        <f t="shared" si="23"/>
        <v>20.334</v>
      </c>
      <c r="X16" s="17" t="s">
        <v>135</v>
      </c>
      <c r="Y16" s="5">
        <f t="shared" si="18"/>
        <v>71</v>
      </c>
      <c r="Z16" s="18">
        <f t="shared" si="19"/>
        <v>24</v>
      </c>
      <c r="AA16" s="19">
        <f t="shared" si="20"/>
        <v>23.7492</v>
      </c>
      <c r="AB16" s="20" t="str">
        <f t="shared" si="8"/>
        <v>https://openstreetmap.org/?mlat=42.472315&amp;mlon=-71.406597#map=16/42.472315/-71.406597</v>
      </c>
      <c r="AD16" s="21">
        <v>7.0</v>
      </c>
      <c r="AE16" s="3" t="s">
        <v>136</v>
      </c>
    </row>
    <row r="17">
      <c r="A17" s="1" t="str">
        <f t="shared" si="1"/>
        <v>Acton/Concord Knox Trail</v>
      </c>
      <c r="B17" s="3" t="s">
        <v>52</v>
      </c>
      <c r="G17" s="3" t="s">
        <v>53</v>
      </c>
      <c r="K17" s="1" t="s">
        <v>137</v>
      </c>
      <c r="L17" s="1"/>
      <c r="M17" s="4"/>
      <c r="N17" s="1" t="s">
        <v>12</v>
      </c>
      <c r="O17" s="15">
        <v>45770.0</v>
      </c>
      <c r="P17" s="1" t="s">
        <v>138</v>
      </c>
      <c r="Q17" s="1" t="s">
        <v>74</v>
      </c>
      <c r="R17" s="4"/>
      <c r="S17" s="3" t="s">
        <v>69</v>
      </c>
      <c r="T17" s="17" t="s">
        <v>139</v>
      </c>
      <c r="U17" s="5">
        <f t="shared" si="21"/>
        <v>42</v>
      </c>
      <c r="V17" s="18">
        <f t="shared" si="22"/>
        <v>26</v>
      </c>
      <c r="W17" s="19">
        <f t="shared" si="23"/>
        <v>31.9272</v>
      </c>
      <c r="X17" s="17" t="s">
        <v>140</v>
      </c>
      <c r="Y17" s="5">
        <f t="shared" si="18"/>
        <v>71</v>
      </c>
      <c r="Z17" s="18">
        <f t="shared" si="19"/>
        <v>25</v>
      </c>
      <c r="AA17" s="19">
        <f t="shared" si="20"/>
        <v>36.7392</v>
      </c>
      <c r="AB17" s="20" t="str">
        <f t="shared" si="8"/>
        <v>https://openstreetmap.org/?mlat=42.442202&amp;mlon=-71.426872#map=16/42.442202/-71.426872</v>
      </c>
      <c r="AD17" s="21">
        <v>3.0</v>
      </c>
      <c r="AE17" s="3" t="s">
        <v>141</v>
      </c>
    </row>
    <row r="18">
      <c r="A18" s="1" t="str">
        <f t="shared" si="1"/>
        <v>Acton/Concord Laws Brook Road</v>
      </c>
      <c r="B18" s="3" t="s">
        <v>52</v>
      </c>
      <c r="G18" s="3" t="s">
        <v>53</v>
      </c>
      <c r="K18" s="1" t="s">
        <v>142</v>
      </c>
      <c r="L18" s="1"/>
      <c r="M18" s="4"/>
      <c r="N18" s="1" t="s">
        <v>13</v>
      </c>
      <c r="O18" s="15">
        <v>45838.0</v>
      </c>
      <c r="P18" s="1" t="s">
        <v>143</v>
      </c>
      <c r="Q18" s="1" t="s">
        <v>144</v>
      </c>
      <c r="R18" s="4"/>
      <c r="S18" s="3" t="s">
        <v>57</v>
      </c>
      <c r="T18" s="17" t="s">
        <v>145</v>
      </c>
      <c r="U18" s="3">
        <v>42.0</v>
      </c>
      <c r="V18" s="21">
        <v>27.0</v>
      </c>
      <c r="W18" s="22">
        <f>0.591*60</f>
        <v>35.46</v>
      </c>
      <c r="X18" s="17" t="s">
        <v>146</v>
      </c>
      <c r="Y18" s="3">
        <v>71.0</v>
      </c>
      <c r="Z18" s="21">
        <v>24.0</v>
      </c>
      <c r="AA18" s="22">
        <f>0.9*60</f>
        <v>54</v>
      </c>
      <c r="AB18" s="20" t="str">
        <f t="shared" si="8"/>
        <v>https://openstreetmap.org/?mlat=42.459859&amp;mlon=-71.414985#map=16/42.459859/-71.414985</v>
      </c>
      <c r="AD18" s="21">
        <v>5.0</v>
      </c>
    </row>
    <row r="19">
      <c r="A19" s="1" t="str">
        <f t="shared" si="1"/>
        <v>Acton/Concord Old Stow Road</v>
      </c>
      <c r="B19" s="3" t="s">
        <v>52</v>
      </c>
      <c r="G19" s="3" t="s">
        <v>53</v>
      </c>
      <c r="K19" s="1" t="s">
        <v>147</v>
      </c>
      <c r="L19" s="1"/>
      <c r="M19" s="1" t="s">
        <v>148</v>
      </c>
      <c r="N19" s="1" t="s">
        <v>13</v>
      </c>
      <c r="O19" s="15">
        <v>45924.0</v>
      </c>
      <c r="P19" s="1" t="s">
        <v>149</v>
      </c>
      <c r="Q19" s="1" t="s">
        <v>150</v>
      </c>
      <c r="R19" s="1"/>
      <c r="S19" s="3" t="s">
        <v>57</v>
      </c>
      <c r="T19" s="25" t="s">
        <v>151</v>
      </c>
      <c r="U19" s="5">
        <f t="shared" ref="U19:U20" si="24">if(isblank(T19),"",abs(trunc(T19)))</f>
        <v>42</v>
      </c>
      <c r="V19" s="18">
        <f t="shared" ref="V19:V20" si="25">if(isblank(T19),"",trunc(abs(T19-trunc(T19))*60))</f>
        <v>27</v>
      </c>
      <c r="W19" s="19">
        <f t="shared" ref="W19:W20" si="26">if(isblank(T19),"",(T19 -(U19+V19/60))*60*60)</f>
        <v>24.6564</v>
      </c>
      <c r="X19" s="17" t="s">
        <v>152</v>
      </c>
      <c r="Y19" s="5">
        <f>abs(trunc(X19))</f>
        <v>71</v>
      </c>
      <c r="Z19" s="18">
        <f>trunc(abs(X19-trunc(X19))*60)</f>
        <v>25</v>
      </c>
      <c r="AA19" s="19">
        <f>(abs(X19) -(Y19+Z19/60))*60*60</f>
        <v>1.218</v>
      </c>
      <c r="AB19" s="20" t="str">
        <f t="shared" si="8"/>
        <v>https://openstreetmap.org/?mlat=42.456849&amp;mlon=-71.417005#map=16/42.456849/-71.417005</v>
      </c>
      <c r="AD19" s="21">
        <v>4.0</v>
      </c>
    </row>
    <row r="20">
      <c r="A20" s="1" t="str">
        <f t="shared" si="1"/>
        <v>Acton/Concord Pope Road</v>
      </c>
      <c r="B20" s="3" t="s">
        <v>52</v>
      </c>
      <c r="G20" s="3" t="s">
        <v>53</v>
      </c>
      <c r="K20" s="1" t="s">
        <v>115</v>
      </c>
      <c r="L20" s="1"/>
      <c r="M20" s="1" t="s">
        <v>153</v>
      </c>
      <c r="N20" s="1" t="s">
        <v>13</v>
      </c>
      <c r="O20" s="15">
        <v>45838.0</v>
      </c>
      <c r="P20" s="1"/>
      <c r="Q20" s="16" t="s">
        <v>154</v>
      </c>
      <c r="R20" s="4"/>
      <c r="S20" s="3" t="s">
        <v>57</v>
      </c>
      <c r="T20" s="17" t="s">
        <v>155</v>
      </c>
      <c r="U20" s="5">
        <f t="shared" si="24"/>
        <v>42</v>
      </c>
      <c r="V20" s="18">
        <f t="shared" si="25"/>
        <v>30</v>
      </c>
      <c r="W20" s="19">
        <f t="shared" si="26"/>
        <v>11.9376</v>
      </c>
      <c r="X20" s="17" t="s">
        <v>156</v>
      </c>
      <c r="Y20" s="5">
        <f>if(isblank(X20),"",abs(trunc(X20)))</f>
        <v>71</v>
      </c>
      <c r="Z20" s="18">
        <f>if(isblank(X20),"",trunc(abs(X20-trunc(X20))*60))</f>
        <v>23</v>
      </c>
      <c r="AA20" s="19">
        <f>if(isblank(X20),"",(abs(X20) -(Y20+Z20/60))*60*60)</f>
        <v>8.5416</v>
      </c>
      <c r="AB20" s="20" t="str">
        <f t="shared" si="8"/>
        <v>https://openstreetmap.org/?mlat=42.503316&amp;mlon=-71.385706#map=16/42.503316/-71.385706</v>
      </c>
      <c r="AD20" s="21">
        <v>11.0</v>
      </c>
    </row>
    <row r="21">
      <c r="A21" s="1" t="str">
        <f t="shared" si="1"/>
        <v>Acton/Concord Powder Mill Road (Rte 62)</v>
      </c>
      <c r="B21" s="3" t="s">
        <v>52</v>
      </c>
      <c r="G21" s="3" t="s">
        <v>53</v>
      </c>
      <c r="K21" s="1" t="s">
        <v>157</v>
      </c>
      <c r="L21" s="1"/>
      <c r="M21" s="4"/>
      <c r="N21" s="1" t="s">
        <v>12</v>
      </c>
      <c r="O21" s="15">
        <v>45770.0</v>
      </c>
      <c r="P21" s="1" t="s">
        <v>158</v>
      </c>
      <c r="Q21" s="1" t="s">
        <v>159</v>
      </c>
      <c r="R21" s="4"/>
      <c r="S21" s="3" t="s">
        <v>69</v>
      </c>
      <c r="T21" s="17" t="s">
        <v>160</v>
      </c>
      <c r="U21" s="5">
        <f>abs(trunc(T21))</f>
        <v>42</v>
      </c>
      <c r="V21" s="18">
        <f>trunc(abs(T21-trunc(T21))*60)</f>
        <v>26</v>
      </c>
      <c r="W21" s="19">
        <f>(T21 -(U21+V21/60))*60*60</f>
        <v>30.75</v>
      </c>
      <c r="X21" s="17" t="s">
        <v>161</v>
      </c>
      <c r="Y21" s="5">
        <f t="shared" ref="Y21:Y27" si="27">abs(trunc(X21))</f>
        <v>71</v>
      </c>
      <c r="Z21" s="18">
        <f t="shared" ref="Z21:Z27" si="28">trunc(abs(X21-trunc(X21))*60)</f>
        <v>25</v>
      </c>
      <c r="AA21" s="19">
        <f t="shared" ref="AA21:AA27" si="29">(abs(X21) -(Y21+Z21/60))*60*60</f>
        <v>37.4916</v>
      </c>
      <c r="AB21" s="20" t="str">
        <f t="shared" si="8"/>
        <v>https://openstreetmap.org/?mlat=42.441875&amp;mlon=-71.427081#map=16/42.441875/-71.427081</v>
      </c>
      <c r="AD21" s="21">
        <v>2.0</v>
      </c>
      <c r="AE21" s="3" t="s">
        <v>162</v>
      </c>
    </row>
    <row r="22">
      <c r="A22" s="1" t="str">
        <f t="shared" si="1"/>
        <v>Acton/Concord Rte 2</v>
      </c>
      <c r="B22" s="3" t="s">
        <v>52</v>
      </c>
      <c r="G22" s="3" t="s">
        <v>53</v>
      </c>
      <c r="K22" s="1" t="s">
        <v>72</v>
      </c>
      <c r="L22" s="1"/>
      <c r="M22" s="1" t="s">
        <v>163</v>
      </c>
      <c r="N22" s="1" t="s">
        <v>12</v>
      </c>
      <c r="O22" s="15">
        <v>45405.0</v>
      </c>
      <c r="P22" s="1" t="s">
        <v>164</v>
      </c>
      <c r="Q22" s="1" t="s">
        <v>68</v>
      </c>
      <c r="R22" s="4"/>
      <c r="S22" s="3" t="s">
        <v>69</v>
      </c>
      <c r="T22" s="17" t="s">
        <v>165</v>
      </c>
      <c r="U22" s="5">
        <f t="shared" ref="U22:U24" si="30">if(isblank(T22),"",abs(trunc(T22)))</f>
        <v>42</v>
      </c>
      <c r="V22" s="18">
        <f t="shared" ref="V22:V24" si="31">if(isblank(T22),"",trunc(abs(T22-trunc(T22))*60))</f>
        <v>28</v>
      </c>
      <c r="W22" s="19">
        <f t="shared" ref="W22:W24" si="32">if(isblank(T22),"",(T22 -(U22+V22/60))*60*60)</f>
        <v>9.3144</v>
      </c>
      <c r="X22" s="17" t="s">
        <v>166</v>
      </c>
      <c r="Y22" s="5">
        <f t="shared" si="27"/>
        <v>71</v>
      </c>
      <c r="Z22" s="18">
        <f t="shared" si="28"/>
        <v>24</v>
      </c>
      <c r="AA22" s="19">
        <f t="shared" si="29"/>
        <v>31.176</v>
      </c>
      <c r="AB22" s="20" t="str">
        <f t="shared" si="8"/>
        <v>https://openstreetmap.org/?mlat=42.469254&amp;mlon=-71.408660#map=16/42.469254/-71.408660</v>
      </c>
      <c r="AD22" s="21">
        <v>6.0</v>
      </c>
      <c r="AE22" s="3" t="s">
        <v>167</v>
      </c>
    </row>
    <row r="23">
      <c r="A23" s="1" t="str">
        <f t="shared" si="1"/>
        <v>Acton/Concord Spencer Brook Road</v>
      </c>
      <c r="B23" s="3" t="s">
        <v>52</v>
      </c>
      <c r="G23" s="3" t="s">
        <v>53</v>
      </c>
      <c r="K23" s="1" t="s">
        <v>168</v>
      </c>
      <c r="L23" s="1"/>
      <c r="M23" s="4"/>
      <c r="N23" s="1" t="s">
        <v>13</v>
      </c>
      <c r="O23" s="15">
        <v>45838.0</v>
      </c>
      <c r="P23" s="1" t="s">
        <v>169</v>
      </c>
      <c r="Q23" s="1" t="s">
        <v>170</v>
      </c>
      <c r="R23" s="1"/>
      <c r="S23" s="3" t="s">
        <v>57</v>
      </c>
      <c r="T23" s="17" t="s">
        <v>171</v>
      </c>
      <c r="U23" s="5">
        <f t="shared" si="30"/>
        <v>42</v>
      </c>
      <c r="V23" s="18">
        <f t="shared" si="31"/>
        <v>30</v>
      </c>
      <c r="W23" s="19">
        <f t="shared" si="32"/>
        <v>8.3268</v>
      </c>
      <c r="X23" s="17" t="s">
        <v>172</v>
      </c>
      <c r="Y23" s="5">
        <f t="shared" si="27"/>
        <v>71</v>
      </c>
      <c r="Z23" s="18">
        <f t="shared" si="28"/>
        <v>23</v>
      </c>
      <c r="AA23" s="19">
        <f t="shared" si="29"/>
        <v>11.0436</v>
      </c>
      <c r="AB23" s="20" t="str">
        <f t="shared" si="8"/>
        <v>https://openstreetmap.org/?mlat=42.502313&amp;mlon=-71.386401#map=16/42.502313/-71.386401</v>
      </c>
      <c r="AD23" s="21">
        <v>10.0</v>
      </c>
    </row>
    <row r="24">
      <c r="A24" s="1" t="str">
        <f t="shared" si="1"/>
        <v>Acton/Concord Strawberry Hill Road</v>
      </c>
      <c r="B24" s="3" t="s">
        <v>52</v>
      </c>
      <c r="G24" s="3" t="s">
        <v>53</v>
      </c>
      <c r="K24" s="1" t="s">
        <v>173</v>
      </c>
      <c r="L24" s="1"/>
      <c r="M24" s="4"/>
      <c r="N24" s="1" t="s">
        <v>13</v>
      </c>
      <c r="O24" s="15">
        <v>45838.0</v>
      </c>
      <c r="P24" s="4"/>
      <c r="Q24" s="16" t="s">
        <v>174</v>
      </c>
      <c r="R24" s="4"/>
      <c r="S24" s="3" t="s">
        <v>57</v>
      </c>
      <c r="T24" s="17" t="s">
        <v>175</v>
      </c>
      <c r="U24" s="5">
        <f t="shared" si="30"/>
        <v>42</v>
      </c>
      <c r="V24" s="18">
        <f t="shared" si="31"/>
        <v>29</v>
      </c>
      <c r="W24" s="19">
        <f t="shared" si="32"/>
        <v>28.4388</v>
      </c>
      <c r="X24" s="17" t="s">
        <v>176</v>
      </c>
      <c r="Y24" s="5">
        <f t="shared" si="27"/>
        <v>71</v>
      </c>
      <c r="Z24" s="18">
        <f t="shared" si="28"/>
        <v>23</v>
      </c>
      <c r="AA24" s="19">
        <f t="shared" si="29"/>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177</v>
      </c>
      <c r="L25" s="1"/>
      <c r="M25" s="1" t="s">
        <v>178</v>
      </c>
      <c r="N25" s="1" t="s">
        <v>13</v>
      </c>
      <c r="O25" s="26" t="s">
        <v>179</v>
      </c>
      <c r="P25" s="1" t="s">
        <v>180</v>
      </c>
      <c r="Q25" s="1" t="s">
        <v>181</v>
      </c>
      <c r="R25" s="1" t="s">
        <v>182</v>
      </c>
      <c r="S25" s="3" t="s">
        <v>87</v>
      </c>
      <c r="T25" s="5">
        <v>42.436947994</v>
      </c>
      <c r="U25" s="5">
        <f t="shared" ref="U25:U28" si="33">abs(trunc(T25))</f>
        <v>42</v>
      </c>
      <c r="V25" s="18">
        <f t="shared" ref="V25:V28" si="34">trunc(abs(T25-trunc(T25))*60)</f>
        <v>26</v>
      </c>
      <c r="W25" s="19">
        <f t="shared" ref="W25:W28" si="35">(T25 -(U25+V25/60))*60*60</f>
        <v>13.0127784</v>
      </c>
      <c r="X25" s="5">
        <v>-71.430394779</v>
      </c>
      <c r="Y25" s="5">
        <f t="shared" si="27"/>
        <v>71</v>
      </c>
      <c r="Z25" s="18">
        <f t="shared" si="28"/>
        <v>25</v>
      </c>
      <c r="AA25" s="19">
        <f t="shared" si="29"/>
        <v>49.4212044</v>
      </c>
      <c r="AB25" s="20" t="str">
        <f t="shared" si="8"/>
        <v>https://openstreetmap.org/?mlat=42.436947994&amp;mlon=-71.430394779#map=16/42.436947994/-71.430394779</v>
      </c>
      <c r="AD25" s="21">
        <v>1.0</v>
      </c>
    </row>
    <row r="26">
      <c r="A26" s="1" t="str">
        <f t="shared" si="1"/>
        <v>Acton/Littleton 1</v>
      </c>
      <c r="B26" s="3" t="s">
        <v>82</v>
      </c>
      <c r="D26" s="3" t="s">
        <v>53</v>
      </c>
      <c r="K26" s="1" t="s">
        <v>183</v>
      </c>
      <c r="L26" s="1"/>
      <c r="M26" s="1" t="s">
        <v>184</v>
      </c>
      <c r="N26" s="1" t="s">
        <v>185</v>
      </c>
      <c r="O26" s="15">
        <v>45810.0</v>
      </c>
      <c r="P26" s="1" t="s">
        <v>186</v>
      </c>
      <c r="Q26" s="16" t="s">
        <v>187</v>
      </c>
      <c r="R26" s="1" t="s">
        <v>188</v>
      </c>
      <c r="S26" s="3" t="s">
        <v>87</v>
      </c>
      <c r="T26" s="5">
        <v>42.5221791480001</v>
      </c>
      <c r="U26" s="5">
        <f t="shared" si="33"/>
        <v>42</v>
      </c>
      <c r="V26" s="18">
        <f t="shared" si="34"/>
        <v>31</v>
      </c>
      <c r="W26" s="19">
        <f t="shared" si="35"/>
        <v>19.8449328</v>
      </c>
      <c r="X26" s="5">
        <v>-71.435017906</v>
      </c>
      <c r="Y26" s="5">
        <f t="shared" si="27"/>
        <v>71</v>
      </c>
      <c r="Z26" s="18">
        <f t="shared" si="28"/>
        <v>26</v>
      </c>
      <c r="AA26" s="19">
        <f t="shared" si="29"/>
        <v>6.0644616</v>
      </c>
      <c r="AB26" s="20" t="str">
        <f t="shared" si="8"/>
        <v>https://openstreetmap.org/?mlat=42.5221791480001&amp;mlon=-71.435017906#map=16/42.5221791480001/-71.435017906</v>
      </c>
      <c r="AC26" s="3">
        <v>1.0</v>
      </c>
      <c r="AD26" s="21">
        <v>26.0</v>
      </c>
      <c r="AE26" s="3" t="s">
        <v>189</v>
      </c>
    </row>
    <row r="27">
      <c r="A27" s="1" t="str">
        <f t="shared" si="1"/>
        <v>Acton/Littleton 2</v>
      </c>
      <c r="B27" s="3" t="s">
        <v>82</v>
      </c>
      <c r="D27" s="3" t="s">
        <v>53</v>
      </c>
      <c r="K27" s="1" t="s">
        <v>190</v>
      </c>
      <c r="L27" s="1"/>
      <c r="M27" s="1" t="s">
        <v>191</v>
      </c>
      <c r="N27" s="1" t="s">
        <v>13</v>
      </c>
      <c r="O27" s="15">
        <v>45810.0</v>
      </c>
      <c r="P27" s="1" t="s">
        <v>192</v>
      </c>
      <c r="Q27" s="16" t="s">
        <v>193</v>
      </c>
      <c r="R27" s="1"/>
      <c r="S27" s="3" t="s">
        <v>87</v>
      </c>
      <c r="T27" s="5">
        <v>42.509068563</v>
      </c>
      <c r="U27" s="5">
        <f t="shared" si="33"/>
        <v>42</v>
      </c>
      <c r="V27" s="18">
        <f t="shared" si="34"/>
        <v>30</v>
      </c>
      <c r="W27" s="19">
        <f t="shared" si="35"/>
        <v>32.6468268</v>
      </c>
      <c r="X27" s="5">
        <v>-71.443940303</v>
      </c>
      <c r="Y27" s="5">
        <f t="shared" si="27"/>
        <v>71</v>
      </c>
      <c r="Z27" s="18">
        <f t="shared" si="28"/>
        <v>26</v>
      </c>
      <c r="AA27" s="19">
        <f t="shared" si="29"/>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194</v>
      </c>
      <c r="L28" s="1" t="s">
        <v>194</v>
      </c>
      <c r="M28" s="4"/>
      <c r="N28" s="1" t="s">
        <v>12</v>
      </c>
      <c r="O28" s="15">
        <v>45741.0</v>
      </c>
      <c r="P28" s="1" t="s">
        <v>195</v>
      </c>
      <c r="Q28" s="1" t="s">
        <v>74</v>
      </c>
      <c r="R28" s="4"/>
      <c r="S28" s="3" t="s">
        <v>69</v>
      </c>
      <c r="T28" s="17" t="s">
        <v>196</v>
      </c>
      <c r="U28" s="5">
        <f t="shared" si="33"/>
        <v>42</v>
      </c>
      <c r="V28" s="18">
        <f t="shared" si="34"/>
        <v>30</v>
      </c>
      <c r="W28" s="19">
        <f t="shared" si="35"/>
        <v>8.496</v>
      </c>
      <c r="X28" s="17" t="s">
        <v>197</v>
      </c>
      <c r="Y28" s="5">
        <f>if(isblank(X28),"",abs(trunc(X28)))</f>
        <v>71</v>
      </c>
      <c r="Z28" s="18">
        <f>if(isblank(X28),"",trunc(abs(X28-trunc(X28))*60))</f>
        <v>27</v>
      </c>
      <c r="AA28" s="19">
        <f>if(isblank(X28),"",(abs(X28) -(Y28+Z28/60))*60*60)</f>
        <v>58.464</v>
      </c>
      <c r="AB28" s="20" t="str">
        <f t="shared" si="8"/>
        <v>https://openstreetmap.org/?mlat=42.50236&amp;mlon=-71.46624#map=16/42.50236/-71.46624</v>
      </c>
      <c r="AD28" s="21">
        <v>33.0</v>
      </c>
      <c r="AE28" s="3" t="s">
        <v>198</v>
      </c>
    </row>
    <row r="29">
      <c r="A29" s="1" t="str">
        <f t="shared" si="1"/>
        <v>Acton/Littleton Fort Pond Road</v>
      </c>
      <c r="B29" s="3" t="s">
        <v>52</v>
      </c>
      <c r="D29" s="3" t="s">
        <v>53</v>
      </c>
      <c r="K29" s="1" t="s">
        <v>199</v>
      </c>
      <c r="L29" s="1" t="s">
        <v>199</v>
      </c>
      <c r="M29" s="1"/>
      <c r="N29" s="1" t="s">
        <v>13</v>
      </c>
      <c r="O29" s="15">
        <v>45810.0</v>
      </c>
      <c r="P29" s="1"/>
      <c r="Q29" s="16" t="s">
        <v>200</v>
      </c>
      <c r="R29" s="1"/>
      <c r="S29" s="3" t="s">
        <v>201</v>
      </c>
      <c r="T29" s="17">
        <v>42.505944444444445</v>
      </c>
      <c r="U29" s="3">
        <v>42.0</v>
      </c>
      <c r="V29" s="21">
        <v>30.0</v>
      </c>
      <c r="W29" s="22">
        <v>21.4</v>
      </c>
      <c r="X29" s="17">
        <v>-71.45436111111111</v>
      </c>
      <c r="Y29" s="3">
        <v>71.0</v>
      </c>
      <c r="Z29" s="21">
        <v>27.0</v>
      </c>
      <c r="AA29" s="22">
        <v>15.7</v>
      </c>
      <c r="AB29" s="20" t="str">
        <f t="shared" si="8"/>
        <v>https://openstreetmap.org/?mlat=42.5059444444444&amp;mlon=-71.4543611111111#map=16/42.5059444444444/-71.4543611111111</v>
      </c>
      <c r="AD29" s="21">
        <v>30.0</v>
      </c>
    </row>
    <row r="30">
      <c r="A30" s="1" t="str">
        <f t="shared" si="1"/>
        <v>Acton/Littleton Great Road</v>
      </c>
      <c r="B30" s="3" t="s">
        <v>52</v>
      </c>
      <c r="D30" s="3" t="s">
        <v>53</v>
      </c>
      <c r="K30" s="1" t="s">
        <v>123</v>
      </c>
      <c r="L30" s="1" t="s">
        <v>123</v>
      </c>
      <c r="M30" s="4"/>
      <c r="N30" s="1" t="s">
        <v>12</v>
      </c>
      <c r="O30" s="15">
        <v>45810.0</v>
      </c>
      <c r="P30" s="1" t="s">
        <v>202</v>
      </c>
      <c r="Q30" s="1" t="s">
        <v>74</v>
      </c>
      <c r="R30" s="1"/>
      <c r="S30" s="3" t="s">
        <v>69</v>
      </c>
      <c r="T30" s="17" t="s">
        <v>203</v>
      </c>
      <c r="U30" s="5">
        <f>abs(trunc(T30))</f>
        <v>42</v>
      </c>
      <c r="V30" s="18">
        <f>trunc(abs(T30-trunc(T30))*60)</f>
        <v>31</v>
      </c>
      <c r="W30" s="19">
        <f>(T30 -(U30+V30/60))*60*60</f>
        <v>21.072</v>
      </c>
      <c r="X30" s="17" t="s">
        <v>204</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205</v>
      </c>
      <c r="L31" s="1" t="s">
        <v>206</v>
      </c>
      <c r="M31" s="4"/>
      <c r="N31" s="1" t="s">
        <v>12</v>
      </c>
      <c r="O31" s="15">
        <v>45741.0</v>
      </c>
      <c r="P31" s="1" t="s">
        <v>207</v>
      </c>
      <c r="Q31" s="1" t="s">
        <v>74</v>
      </c>
      <c r="R31" s="4"/>
      <c r="S31" s="3" t="s">
        <v>69</v>
      </c>
      <c r="T31" s="17" t="s">
        <v>208</v>
      </c>
      <c r="U31" s="5">
        <f>if(isblank(T31),"",abs(trunc(T31)))</f>
        <v>42</v>
      </c>
      <c r="V31" s="18">
        <f>if(isblank(T31),"",trunc(abs(T31-trunc(T31))*60))</f>
        <v>30</v>
      </c>
      <c r="W31" s="19">
        <f>if(isblank(T31),"",(T31 -(U31+V31/60))*60*60)</f>
        <v>4.0788</v>
      </c>
      <c r="X31" s="17" t="s">
        <v>209</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198</v>
      </c>
    </row>
    <row r="32">
      <c r="A32" s="1" t="str">
        <f t="shared" si="1"/>
        <v>Acton/Littleton Nagog Hill Road</v>
      </c>
      <c r="B32" s="3" t="s">
        <v>52</v>
      </c>
      <c r="D32" s="3" t="s">
        <v>53</v>
      </c>
      <c r="K32" s="1" t="s">
        <v>190</v>
      </c>
      <c r="L32" s="1" t="s">
        <v>190</v>
      </c>
      <c r="M32" s="4"/>
      <c r="N32" s="1" t="s">
        <v>13</v>
      </c>
      <c r="O32" s="15">
        <v>45810.0</v>
      </c>
      <c r="P32" s="1" t="s">
        <v>210</v>
      </c>
      <c r="Q32" s="16" t="s">
        <v>211</v>
      </c>
      <c r="S32" s="3" t="s">
        <v>57</v>
      </c>
      <c r="T32" s="24" t="s">
        <v>212</v>
      </c>
      <c r="U32" s="5">
        <f t="shared" ref="U32:U37" si="36">abs(trunc(T32))</f>
        <v>42</v>
      </c>
      <c r="V32" s="18">
        <f t="shared" ref="V32:V37" si="37">trunc(abs(T32-trunc(T32))*60)</f>
        <v>30</v>
      </c>
      <c r="W32" s="19">
        <f t="shared" ref="W32:W37" si="38">(T32 -(U32+V32/60))*60*60</f>
        <v>26.7372</v>
      </c>
      <c r="X32" s="24" t="s">
        <v>213</v>
      </c>
      <c r="Y32" s="5">
        <f t="shared" ref="Y32:Y33" si="39">abs(trunc(X32))</f>
        <v>71</v>
      </c>
      <c r="Z32" s="18">
        <f t="shared" ref="Z32:Z33" si="40">trunc(abs(X32-trunc(X32))*60)</f>
        <v>26</v>
      </c>
      <c r="AA32" s="19">
        <f t="shared" ref="AA32:AA33" si="41">(abs(X32)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183</v>
      </c>
      <c r="L33" s="1" t="s">
        <v>123</v>
      </c>
      <c r="M33" s="4"/>
      <c r="N33" s="1" t="s">
        <v>12</v>
      </c>
      <c r="O33" s="15">
        <v>45810.0</v>
      </c>
      <c r="P33" s="1" t="s">
        <v>202</v>
      </c>
      <c r="Q33" s="1" t="s">
        <v>74</v>
      </c>
      <c r="R33" s="1"/>
      <c r="S33" s="3" t="s">
        <v>69</v>
      </c>
      <c r="T33" s="17" t="s">
        <v>214</v>
      </c>
      <c r="U33" s="5">
        <f t="shared" si="36"/>
        <v>42</v>
      </c>
      <c r="V33" s="18">
        <f t="shared" si="37"/>
        <v>31</v>
      </c>
      <c r="W33" s="19">
        <f t="shared" si="38"/>
        <v>19.74</v>
      </c>
      <c r="X33" s="17" t="s">
        <v>215</v>
      </c>
      <c r="Y33" s="5">
        <f t="shared" si="39"/>
        <v>71</v>
      </c>
      <c r="Z33" s="18">
        <f t="shared" si="40"/>
        <v>26</v>
      </c>
      <c r="AA33" s="19">
        <f t="shared" si="41"/>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216</v>
      </c>
      <c r="M34" s="1" t="s">
        <v>217</v>
      </c>
      <c r="N34" s="1" t="s">
        <v>13</v>
      </c>
      <c r="O34" s="15">
        <v>45810.0</v>
      </c>
      <c r="P34" s="1"/>
      <c r="Q34" s="16" t="s">
        <v>218</v>
      </c>
      <c r="R34" s="4"/>
      <c r="S34" s="3" t="s">
        <v>57</v>
      </c>
      <c r="T34" s="17" t="s">
        <v>219</v>
      </c>
      <c r="U34" s="5">
        <f t="shared" si="36"/>
        <v>42</v>
      </c>
      <c r="V34" s="18">
        <f t="shared" si="37"/>
        <v>30</v>
      </c>
      <c r="W34" s="19">
        <f t="shared" si="38"/>
        <v>5.1012</v>
      </c>
      <c r="X34" s="17" t="s">
        <v>220</v>
      </c>
      <c r="Y34" s="5">
        <f t="shared" ref="Y34:Y36" si="42">if(isblank(X34),"",abs(trunc(X34)))</f>
        <v>71</v>
      </c>
      <c r="Z34" s="18">
        <f t="shared" ref="Z34:Z36" si="43">if(isblank(X34),"",trunc(abs(X34-trunc(X34))*60))</f>
        <v>28</v>
      </c>
      <c r="AA34" s="19">
        <f t="shared" ref="AA34:AA36" si="44">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221</v>
      </c>
      <c r="L35" s="1"/>
      <c r="M35" s="4"/>
      <c r="N35" s="1" t="s">
        <v>12</v>
      </c>
      <c r="O35" s="15">
        <v>45810.0</v>
      </c>
      <c r="P35" s="1" t="s">
        <v>222</v>
      </c>
      <c r="Q35" s="1" t="s">
        <v>74</v>
      </c>
      <c r="R35" s="4"/>
      <c r="S35" s="3" t="s">
        <v>69</v>
      </c>
      <c r="T35" s="17" t="s">
        <v>223</v>
      </c>
      <c r="U35" s="5">
        <f t="shared" si="36"/>
        <v>42</v>
      </c>
      <c r="V35" s="18">
        <f t="shared" si="37"/>
        <v>30</v>
      </c>
      <c r="W35" s="19">
        <f t="shared" si="38"/>
        <v>18.972</v>
      </c>
      <c r="X35" s="17" t="s">
        <v>224</v>
      </c>
      <c r="Y35" s="5">
        <f t="shared" si="42"/>
        <v>71</v>
      </c>
      <c r="Z35" s="18">
        <f t="shared" si="43"/>
        <v>27</v>
      </c>
      <c r="AA35" s="19">
        <f t="shared" si="44"/>
        <v>24.192</v>
      </c>
      <c r="AB35" s="20" t="str">
        <f t="shared" si="8"/>
        <v>https://openstreetmap.org/?mlat=42.50527&amp;mlon=-71.45672#map=16/42.50527/-71.45672</v>
      </c>
      <c r="AD35" s="21">
        <v>32.0</v>
      </c>
      <c r="AE35" s="3" t="s">
        <v>225</v>
      </c>
    </row>
    <row r="36">
      <c r="A36" s="1" t="str">
        <f t="shared" si="1"/>
        <v>Acton/Littleton W B Marker on Fort Pond Road</v>
      </c>
      <c r="B36" s="3" t="s">
        <v>52</v>
      </c>
      <c r="D36" s="3" t="s">
        <v>53</v>
      </c>
      <c r="K36" s="1" t="s">
        <v>226</v>
      </c>
      <c r="L36" s="1" t="s">
        <v>199</v>
      </c>
      <c r="M36" s="1"/>
      <c r="N36" s="1" t="s">
        <v>11</v>
      </c>
      <c r="O36" s="15">
        <v>45810.0</v>
      </c>
      <c r="P36" s="1" t="s">
        <v>227</v>
      </c>
      <c r="Q36" s="16" t="s">
        <v>74</v>
      </c>
      <c r="R36" s="1" t="s">
        <v>228</v>
      </c>
      <c r="S36" s="3" t="s">
        <v>57</v>
      </c>
      <c r="T36" s="24" t="s">
        <v>229</v>
      </c>
      <c r="U36" s="5">
        <f t="shared" si="36"/>
        <v>42</v>
      </c>
      <c r="V36" s="18">
        <f t="shared" si="37"/>
        <v>30</v>
      </c>
      <c r="W36" s="19">
        <f t="shared" si="38"/>
        <v>22.3236</v>
      </c>
      <c r="X36" s="24" t="s">
        <v>230</v>
      </c>
      <c r="Y36" s="5">
        <f t="shared" si="42"/>
        <v>71</v>
      </c>
      <c r="Z36" s="18">
        <f t="shared" si="43"/>
        <v>27</v>
      </c>
      <c r="AA36" s="19">
        <f t="shared" si="44"/>
        <v>14.85</v>
      </c>
      <c r="AB36" s="20" t="str">
        <f t="shared" si="8"/>
        <v>https://openstreetmap.org/?mlat=42.506201&amp;mlon=-71.454125#map=16/42.506201/-71.454125</v>
      </c>
      <c r="AD36" s="21">
        <v>31.0</v>
      </c>
      <c r="AE36" s="3" t="s">
        <v>231</v>
      </c>
    </row>
    <row r="37">
      <c r="A37" s="1" t="str">
        <f t="shared" si="1"/>
        <v>Acton/Littleton/Westford</v>
      </c>
      <c r="B37" s="3" t="s">
        <v>82</v>
      </c>
      <c r="D37" s="3" t="s">
        <v>53</v>
      </c>
      <c r="E37" s="3" t="s">
        <v>53</v>
      </c>
      <c r="K37" s="1" t="s">
        <v>232</v>
      </c>
      <c r="L37" s="1" t="s">
        <v>233</v>
      </c>
      <c r="M37" s="1" t="s">
        <v>234</v>
      </c>
      <c r="N37" s="1" t="s">
        <v>13</v>
      </c>
      <c r="O37" s="15">
        <v>45924.0</v>
      </c>
      <c r="P37" s="1" t="s">
        <v>235</v>
      </c>
      <c r="Q37" s="16" t="s">
        <v>236</v>
      </c>
      <c r="R37" s="1" t="s">
        <v>237</v>
      </c>
      <c r="S37" s="3" t="s">
        <v>87</v>
      </c>
      <c r="T37" s="5">
        <v>42.528812154</v>
      </c>
      <c r="U37" s="5">
        <f t="shared" si="36"/>
        <v>42</v>
      </c>
      <c r="V37" s="18">
        <f t="shared" si="37"/>
        <v>31</v>
      </c>
      <c r="W37" s="19">
        <f t="shared" si="38"/>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238</v>
      </c>
      <c r="L38" s="1"/>
      <c r="M38" s="1" t="s">
        <v>239</v>
      </c>
      <c r="N38" s="1" t="s">
        <v>13</v>
      </c>
      <c r="O38" s="26" t="s">
        <v>240</v>
      </c>
      <c r="P38" s="1" t="s">
        <v>241</v>
      </c>
      <c r="Q38" s="1" t="s">
        <v>242</v>
      </c>
      <c r="R38" s="1"/>
      <c r="S38" s="3" t="s">
        <v>57</v>
      </c>
      <c r="T38" s="24" t="s">
        <v>243</v>
      </c>
      <c r="U38" s="5">
        <f t="shared" ref="U38:U41" si="45">if(isblank(T38),"",abs(trunc(T38)))</f>
        <v>42</v>
      </c>
      <c r="V38" s="18">
        <f t="shared" ref="V38:V41" si="46">if(isblank(T38),"",trunc(abs(T38-trunc(T38))*60))</f>
        <v>26</v>
      </c>
      <c r="W38" s="19">
        <f t="shared" ref="W38:W41" si="47">if(isblank(T38),"",(T38 -(U38+V38/60))*60*60)</f>
        <v>44.5236</v>
      </c>
      <c r="X38" s="27" t="s">
        <v>244</v>
      </c>
      <c r="Y38" s="5">
        <f t="shared" ref="Y38:Y41" si="48">if(isblank(X38),"",abs(trunc(X38)))</f>
        <v>71</v>
      </c>
      <c r="Z38" s="18">
        <f t="shared" ref="Z38:Z41" si="49">if(isblank(X38),"",trunc(abs(X38-trunc(X38))*60))</f>
        <v>27</v>
      </c>
      <c r="AA38" s="19">
        <f t="shared" ref="AA38:AA41" si="50">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245</v>
      </c>
      <c r="M39" s="1" t="s">
        <v>246</v>
      </c>
      <c r="N39" s="1" t="s">
        <v>13</v>
      </c>
      <c r="O39" s="26" t="s">
        <v>240</v>
      </c>
      <c r="P39" s="1" t="s">
        <v>247</v>
      </c>
      <c r="Q39" s="1" t="s">
        <v>248</v>
      </c>
      <c r="R39" s="1"/>
      <c r="S39" s="3" t="s">
        <v>57</v>
      </c>
      <c r="T39" s="28" t="s">
        <v>249</v>
      </c>
      <c r="U39" s="5">
        <f t="shared" si="45"/>
        <v>42</v>
      </c>
      <c r="V39" s="18">
        <f t="shared" si="46"/>
        <v>26</v>
      </c>
      <c r="W39" s="19">
        <f t="shared" si="47"/>
        <v>46.428</v>
      </c>
      <c r="X39" s="27" t="s">
        <v>250</v>
      </c>
      <c r="Y39" s="5">
        <f t="shared" si="48"/>
        <v>71</v>
      </c>
      <c r="Z39" s="18">
        <f t="shared" si="49"/>
        <v>27</v>
      </c>
      <c r="AA39" s="19">
        <f t="shared" si="50"/>
        <v>14.1552</v>
      </c>
      <c r="AB39" s="20" t="str">
        <f t="shared" si="8"/>
        <v>https://openstreetmap.org/?mlat=42.446230&amp;mlon=-71.453932#map=16/42.446230/-71.453932</v>
      </c>
      <c r="AD39" s="21">
        <v>47.0</v>
      </c>
    </row>
    <row r="40">
      <c r="A40" s="1" t="str">
        <f t="shared" si="1"/>
        <v>Acton/Maynard Parker Street</v>
      </c>
      <c r="B40" s="3" t="s">
        <v>52</v>
      </c>
      <c r="I40" s="3" t="s">
        <v>53</v>
      </c>
      <c r="K40" s="1" t="s">
        <v>251</v>
      </c>
      <c r="L40" s="1" t="s">
        <v>252</v>
      </c>
      <c r="M40" s="1" t="s">
        <v>253</v>
      </c>
      <c r="N40" s="1" t="s">
        <v>13</v>
      </c>
      <c r="O40" s="26" t="s">
        <v>240</v>
      </c>
      <c r="P40" s="1" t="s">
        <v>254</v>
      </c>
      <c r="Q40" s="1" t="s">
        <v>255</v>
      </c>
      <c r="R40" s="1" t="s">
        <v>256</v>
      </c>
      <c r="S40" s="3" t="s">
        <v>57</v>
      </c>
      <c r="T40" s="17" t="s">
        <v>257</v>
      </c>
      <c r="U40" s="5">
        <f t="shared" si="45"/>
        <v>42</v>
      </c>
      <c r="V40" s="18">
        <f t="shared" si="46"/>
        <v>26</v>
      </c>
      <c r="W40" s="19">
        <f t="shared" si="47"/>
        <v>32.2044</v>
      </c>
      <c r="X40" s="27" t="s">
        <v>258</v>
      </c>
      <c r="Y40" s="5">
        <f t="shared" si="48"/>
        <v>71</v>
      </c>
      <c r="Z40" s="18">
        <f t="shared" si="49"/>
        <v>26</v>
      </c>
      <c r="AA40" s="19">
        <f t="shared" si="50"/>
        <v>37.968</v>
      </c>
      <c r="AB40" s="20" t="str">
        <f t="shared" si="8"/>
        <v>https://openstreetmap.org/?mlat=42.442279&amp;mlon=-71.443880#map=16/42.442279/-71.443880</v>
      </c>
      <c r="AD40" s="21">
        <v>49.0</v>
      </c>
      <c r="AE40" s="3" t="s">
        <v>259</v>
      </c>
    </row>
    <row r="41">
      <c r="A41" s="1" t="str">
        <f t="shared" si="1"/>
        <v>Acton/Maynard Powder Mill Road (Rte 62)</v>
      </c>
      <c r="B41" s="3" t="s">
        <v>52</v>
      </c>
      <c r="I41" s="3" t="s">
        <v>53</v>
      </c>
      <c r="K41" s="1" t="s">
        <v>157</v>
      </c>
      <c r="L41" s="1"/>
      <c r="M41" s="1" t="s">
        <v>260</v>
      </c>
      <c r="N41" s="1" t="s">
        <v>12</v>
      </c>
      <c r="O41" s="15">
        <v>45770.0</v>
      </c>
      <c r="P41" s="1" t="s">
        <v>261</v>
      </c>
      <c r="Q41" s="1" t="s">
        <v>262</v>
      </c>
      <c r="R41" s="4"/>
      <c r="S41" s="3" t="s">
        <v>69</v>
      </c>
      <c r="T41" s="17" t="s">
        <v>263</v>
      </c>
      <c r="U41" s="5">
        <f t="shared" si="45"/>
        <v>42</v>
      </c>
      <c r="V41" s="18">
        <f t="shared" si="46"/>
        <v>26</v>
      </c>
      <c r="W41" s="19">
        <f t="shared" si="47"/>
        <v>20.076</v>
      </c>
      <c r="X41" s="17" t="s">
        <v>264</v>
      </c>
      <c r="Y41" s="5">
        <f t="shared" si="48"/>
        <v>71</v>
      </c>
      <c r="Z41" s="18">
        <f t="shared" si="49"/>
        <v>26</v>
      </c>
      <c r="AA41" s="19">
        <f t="shared" si="50"/>
        <v>7.188</v>
      </c>
      <c r="AB41" s="20" t="str">
        <f t="shared" si="8"/>
        <v>https://openstreetmap.org/?mlat=42.43891&amp;mlon=-71.43533#map=16/42.43891/-71.43533</v>
      </c>
      <c r="AD41" s="21">
        <v>50.0</v>
      </c>
      <c r="AE41" s="3" t="s">
        <v>265</v>
      </c>
    </row>
    <row r="42">
      <c r="A42" s="1" t="str">
        <f t="shared" si="1"/>
        <v>Acton/Maynard Sudbury Road</v>
      </c>
      <c r="B42" s="3" t="s">
        <v>52</v>
      </c>
      <c r="I42" s="3" t="s">
        <v>53</v>
      </c>
      <c r="K42" s="1" t="s">
        <v>266</v>
      </c>
      <c r="L42" s="1" t="s">
        <v>266</v>
      </c>
      <c r="M42" s="1" t="s">
        <v>267</v>
      </c>
      <c r="N42" s="1" t="s">
        <v>12</v>
      </c>
      <c r="O42" s="15">
        <v>45862.0</v>
      </c>
      <c r="P42" s="1" t="s">
        <v>268</v>
      </c>
      <c r="Q42" s="1" t="s">
        <v>269</v>
      </c>
      <c r="R42" s="4"/>
      <c r="S42" s="3" t="s">
        <v>69</v>
      </c>
      <c r="T42" s="17" t="s">
        <v>270</v>
      </c>
      <c r="U42" s="5">
        <f t="shared" ref="U42:U43" si="51">abs(trunc(T42))</f>
        <v>42</v>
      </c>
      <c r="V42" s="18">
        <f t="shared" ref="V42:V43" si="52">trunc(abs(T42-trunc(T42))*60)</f>
        <v>26</v>
      </c>
      <c r="W42" s="19">
        <f t="shared" ref="W42:W43" si="53">(T42 -(U42+V42/60))*60*60</f>
        <v>13.7328</v>
      </c>
      <c r="X42" s="17" t="s">
        <v>271</v>
      </c>
      <c r="Y42" s="5">
        <f t="shared" ref="Y42:Y50" si="54">abs(trunc(X42))</f>
        <v>71</v>
      </c>
      <c r="Z42" s="18">
        <f t="shared" ref="Z42:Z50" si="55">trunc(abs(X42-trunc(X42))*60)</f>
        <v>25</v>
      </c>
      <c r="AA42" s="19">
        <f t="shared" ref="AA42:AA50" si="56">(abs(X42) -(Y42+Z42/60))*60*60</f>
        <v>51.204</v>
      </c>
      <c r="AB42" s="20" t="str">
        <f t="shared" si="8"/>
        <v>https://openstreetmap.org/?mlat=42.437148&amp;mlon=-71.430890#map=16/42.437148/-71.430890</v>
      </c>
      <c r="AD42" s="21">
        <v>51.0</v>
      </c>
      <c r="AE42" s="3" t="s">
        <v>272</v>
      </c>
    </row>
    <row r="43">
      <c r="A43" s="1" t="str">
        <f t="shared" si="1"/>
        <v>Acton/Maynard/Stow</v>
      </c>
      <c r="B43" s="3" t="s">
        <v>82</v>
      </c>
      <c r="I43" s="3" t="s">
        <v>53</v>
      </c>
      <c r="J43" s="3" t="s">
        <v>53</v>
      </c>
      <c r="K43" s="1" t="s">
        <v>273</v>
      </c>
      <c r="L43" s="1"/>
      <c r="M43" s="1" t="s">
        <v>274</v>
      </c>
      <c r="N43" s="1" t="s">
        <v>13</v>
      </c>
      <c r="O43" s="26" t="s">
        <v>275</v>
      </c>
      <c r="P43" s="1" t="s">
        <v>276</v>
      </c>
      <c r="Q43" s="1" t="s">
        <v>277</v>
      </c>
      <c r="R43" s="1"/>
      <c r="S43" s="3" t="s">
        <v>87</v>
      </c>
      <c r="T43" s="5">
        <v>42.4503286410001</v>
      </c>
      <c r="U43" s="5">
        <f t="shared" si="51"/>
        <v>42</v>
      </c>
      <c r="V43" s="18">
        <f t="shared" si="52"/>
        <v>27</v>
      </c>
      <c r="W43" s="19">
        <f t="shared" si="53"/>
        <v>1.1831076</v>
      </c>
      <c r="X43" s="5">
        <v>-71.4643289959999</v>
      </c>
      <c r="Y43" s="5">
        <f t="shared" si="54"/>
        <v>71</v>
      </c>
      <c r="Z43" s="18">
        <f t="shared" si="55"/>
        <v>27</v>
      </c>
      <c r="AA43" s="19">
        <f t="shared" si="56"/>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273</v>
      </c>
      <c r="L44" s="1"/>
      <c r="M44" s="4"/>
      <c r="N44" s="1" t="s">
        <v>13</v>
      </c>
      <c r="O44" s="26" t="s">
        <v>240</v>
      </c>
      <c r="P44" s="1" t="s">
        <v>278</v>
      </c>
      <c r="Q44" s="1" t="s">
        <v>279</v>
      </c>
      <c r="R44" s="1"/>
      <c r="S44" s="3" t="s">
        <v>57</v>
      </c>
      <c r="T44" s="17" t="s">
        <v>280</v>
      </c>
      <c r="U44" s="5">
        <f t="shared" ref="U44:U46" si="57">if(isblank(T44),"",abs(trunc(T44)))</f>
        <v>42</v>
      </c>
      <c r="V44" s="18">
        <f t="shared" ref="V44:V46" si="58">if(isblank(T44),"",trunc(abs(T44-trunc(T44))*60))</f>
        <v>27</v>
      </c>
      <c r="W44" s="19">
        <f t="shared" ref="W44:W46" si="59">if(isblank(T44),"",(T44 -(U44+V44/60))*60*60)</f>
        <v>5.4108</v>
      </c>
      <c r="X44" s="17" t="s">
        <v>281</v>
      </c>
      <c r="Y44" s="5">
        <f t="shared" si="54"/>
        <v>71</v>
      </c>
      <c r="Z44" s="18">
        <f t="shared" si="55"/>
        <v>28</v>
      </c>
      <c r="AA44" s="19">
        <f t="shared" si="56"/>
        <v>2.3592</v>
      </c>
      <c r="AB44" s="20" t="str">
        <f t="shared" si="8"/>
        <v>https://openstreetmap.org/?mlat=42.451503&amp;mlon=-71.467322#map=16/42.451503/-71.467322</v>
      </c>
      <c r="AD44" s="21">
        <v>45.0</v>
      </c>
    </row>
    <row r="45">
      <c r="A45" s="1" t="str">
        <f t="shared" si="1"/>
        <v>Acton/Stow Stow Street</v>
      </c>
      <c r="B45" s="3" t="s">
        <v>52</v>
      </c>
      <c r="J45" s="3" t="s">
        <v>53</v>
      </c>
      <c r="K45" s="1" t="s">
        <v>282</v>
      </c>
      <c r="L45" s="1" t="s">
        <v>283</v>
      </c>
      <c r="M45" s="1" t="s">
        <v>284</v>
      </c>
      <c r="N45" s="1" t="s">
        <v>13</v>
      </c>
      <c r="O45" s="26" t="s">
        <v>240</v>
      </c>
      <c r="P45" s="1" t="s">
        <v>285</v>
      </c>
      <c r="Q45" s="1" t="s">
        <v>286</v>
      </c>
      <c r="R45" s="1"/>
      <c r="S45" s="3" t="s">
        <v>57</v>
      </c>
      <c r="T45" s="17" t="s">
        <v>287</v>
      </c>
      <c r="U45" s="5">
        <f t="shared" si="57"/>
        <v>42</v>
      </c>
      <c r="V45" s="18">
        <f t="shared" si="58"/>
        <v>27</v>
      </c>
      <c r="W45" s="19">
        <f t="shared" si="59"/>
        <v>12.204</v>
      </c>
      <c r="X45" s="17" t="s">
        <v>288</v>
      </c>
      <c r="Y45" s="5">
        <f t="shared" si="54"/>
        <v>71</v>
      </c>
      <c r="Z45" s="18">
        <f t="shared" si="55"/>
        <v>28</v>
      </c>
      <c r="AA45" s="19">
        <f t="shared" si="56"/>
        <v>19.6176</v>
      </c>
      <c r="AB45" s="20" t="str">
        <f t="shared" si="8"/>
        <v>https://openstreetmap.org/?mlat=42.453390&amp;mlon=-71.472116#map=16/42.453390/-71.472116</v>
      </c>
      <c r="AD45" s="21">
        <v>44.0</v>
      </c>
    </row>
    <row r="46">
      <c r="A46" s="1" t="str">
        <f t="shared" si="1"/>
        <v>Acton/Stow Willow Street</v>
      </c>
      <c r="B46" s="3" t="s">
        <v>52</v>
      </c>
      <c r="J46" s="3" t="s">
        <v>53</v>
      </c>
      <c r="K46" s="1" t="s">
        <v>289</v>
      </c>
      <c r="L46" s="1" t="s">
        <v>290</v>
      </c>
      <c r="M46" s="4"/>
      <c r="N46" s="1" t="s">
        <v>13</v>
      </c>
      <c r="O46" s="26" t="s">
        <v>240</v>
      </c>
      <c r="P46" s="1" t="s">
        <v>291</v>
      </c>
      <c r="Q46" s="1" t="s">
        <v>292</v>
      </c>
      <c r="R46" s="1"/>
      <c r="S46" s="3" t="s">
        <v>57</v>
      </c>
      <c r="T46" s="17" t="s">
        <v>293</v>
      </c>
      <c r="U46" s="5">
        <f t="shared" si="57"/>
        <v>42</v>
      </c>
      <c r="V46" s="18">
        <f t="shared" si="58"/>
        <v>27</v>
      </c>
      <c r="W46" s="19">
        <f t="shared" si="59"/>
        <v>34.8912</v>
      </c>
      <c r="X46" s="17" t="s">
        <v>294</v>
      </c>
      <c r="Y46" s="5">
        <f t="shared" si="54"/>
        <v>71</v>
      </c>
      <c r="Z46" s="18">
        <f t="shared" si="55"/>
        <v>29</v>
      </c>
      <c r="AA46" s="19">
        <f t="shared" si="56"/>
        <v>17.3076</v>
      </c>
      <c r="AB46" s="20" t="str">
        <f t="shared" si="8"/>
        <v>https://openstreetmap.org/?mlat=42.459692&amp;mlon=-71.488141#map=16/42.459692/-71.488141</v>
      </c>
      <c r="AD46" s="21">
        <v>43.0</v>
      </c>
    </row>
    <row r="47">
      <c r="A47" s="1" t="str">
        <f t="shared" si="1"/>
        <v>Acton/Westford</v>
      </c>
      <c r="B47" s="3" t="s">
        <v>82</v>
      </c>
      <c r="E47" s="3" t="s">
        <v>53</v>
      </c>
      <c r="K47" s="1" t="s">
        <v>295</v>
      </c>
      <c r="L47" s="1"/>
      <c r="M47" s="1" t="s">
        <v>296</v>
      </c>
      <c r="N47" s="1" t="s">
        <v>12</v>
      </c>
      <c r="O47" s="15">
        <v>45580.0</v>
      </c>
      <c r="P47" s="1" t="s">
        <v>297</v>
      </c>
      <c r="Q47" s="1" t="s">
        <v>298</v>
      </c>
      <c r="R47" s="1"/>
      <c r="S47" s="3" t="s">
        <v>87</v>
      </c>
      <c r="T47" s="5">
        <v>42.5261982760001</v>
      </c>
      <c r="U47" s="5">
        <f t="shared" ref="U47:U50" si="60">abs(trunc(T47))</f>
        <v>42</v>
      </c>
      <c r="V47" s="18">
        <f t="shared" ref="V47:V50" si="61">trunc(abs(T47-trunc(T47))*60)</f>
        <v>31</v>
      </c>
      <c r="W47" s="19">
        <f t="shared" ref="W47:W50" si="62">(T47 -(U47+V47/60))*60*60</f>
        <v>34.3137936</v>
      </c>
      <c r="X47" s="5">
        <v>-71.42379555</v>
      </c>
      <c r="Y47" s="5">
        <f t="shared" si="54"/>
        <v>71</v>
      </c>
      <c r="Z47" s="18">
        <f t="shared" si="55"/>
        <v>25</v>
      </c>
      <c r="AA47" s="19">
        <f t="shared" si="56"/>
        <v>25.66398</v>
      </c>
      <c r="AB47" s="20" t="str">
        <f t="shared" si="8"/>
        <v>https://openstreetmap.org/?mlat=42.5261982760001&amp;mlon=-71.42379555#map=16/42.5261982760001/-71.42379555</v>
      </c>
      <c r="AD47" s="21">
        <v>20.0</v>
      </c>
      <c r="AE47" s="3" t="s">
        <v>299</v>
      </c>
    </row>
    <row r="48">
      <c r="A48" s="1" t="str">
        <f t="shared" si="1"/>
        <v>Acton/Westford Bay Drive (East)</v>
      </c>
      <c r="B48" s="3" t="s">
        <v>52</v>
      </c>
      <c r="E48" s="3" t="s">
        <v>53</v>
      </c>
      <c r="K48" s="1" t="s">
        <v>300</v>
      </c>
      <c r="L48" s="1"/>
      <c r="M48" s="4"/>
      <c r="N48" s="1" t="s">
        <v>12</v>
      </c>
      <c r="O48" s="15">
        <v>45580.0</v>
      </c>
      <c r="P48" s="1" t="s">
        <v>301</v>
      </c>
      <c r="Q48" s="4"/>
      <c r="R48" s="4"/>
      <c r="S48" s="3" t="s">
        <v>69</v>
      </c>
      <c r="T48" s="17" t="s">
        <v>302</v>
      </c>
      <c r="U48" s="5">
        <f t="shared" si="60"/>
        <v>42</v>
      </c>
      <c r="V48" s="18">
        <f t="shared" si="61"/>
        <v>31</v>
      </c>
      <c r="W48" s="19">
        <f t="shared" si="62"/>
        <v>34.5144</v>
      </c>
      <c r="X48" s="17" t="s">
        <v>303</v>
      </c>
      <c r="Y48" s="5">
        <f t="shared" si="54"/>
        <v>71</v>
      </c>
      <c r="Z48" s="18">
        <f t="shared" si="55"/>
        <v>25</v>
      </c>
      <c r="AA48" s="19">
        <f t="shared" si="56"/>
        <v>24.8052</v>
      </c>
      <c r="AB48" s="20" t="str">
        <f t="shared" si="8"/>
        <v>https://openstreetmap.org/?mlat=42.526254&amp;mlon=-71.423557#map=16/42.526254/-71.423557</v>
      </c>
      <c r="AD48" s="21">
        <v>19.0</v>
      </c>
      <c r="AE48" s="3" t="s">
        <v>198</v>
      </c>
    </row>
    <row r="49">
      <c r="A49" s="1" t="str">
        <f t="shared" si="1"/>
        <v>Acton/Westford Bay Drive (West)</v>
      </c>
      <c r="B49" s="3" t="s">
        <v>52</v>
      </c>
      <c r="E49" s="3" t="s">
        <v>53</v>
      </c>
      <c r="K49" s="1" t="s">
        <v>304</v>
      </c>
      <c r="L49" s="1"/>
      <c r="M49" s="4"/>
      <c r="N49" s="1" t="s">
        <v>12</v>
      </c>
      <c r="O49" s="15">
        <v>45580.0</v>
      </c>
      <c r="P49" s="1" t="s">
        <v>301</v>
      </c>
      <c r="Q49" s="1"/>
      <c r="R49" s="4"/>
      <c r="S49" s="3" t="s">
        <v>69</v>
      </c>
      <c r="T49" s="17" t="s">
        <v>305</v>
      </c>
      <c r="U49" s="5">
        <f t="shared" si="60"/>
        <v>42</v>
      </c>
      <c r="V49" s="18">
        <f t="shared" si="61"/>
        <v>31</v>
      </c>
      <c r="W49" s="19">
        <f t="shared" si="62"/>
        <v>37.398</v>
      </c>
      <c r="X49" s="17" t="s">
        <v>306</v>
      </c>
      <c r="Y49" s="5">
        <f t="shared" si="54"/>
        <v>71</v>
      </c>
      <c r="Z49" s="18">
        <f t="shared" si="55"/>
        <v>25</v>
      </c>
      <c r="AA49" s="19">
        <f t="shared" si="56"/>
        <v>31.4184</v>
      </c>
      <c r="AB49" s="20" t="str">
        <f t="shared" si="8"/>
        <v>https://openstreetmap.org/?mlat=42.527055&amp;mlon=-71.425394#map=16/42.527055/-71.425394</v>
      </c>
      <c r="AD49" s="21">
        <v>21.0</v>
      </c>
    </row>
    <row r="50">
      <c r="A50" s="1" t="str">
        <f t="shared" si="1"/>
        <v>Acton/Westford Bear Hill Road (in 1904)</v>
      </c>
      <c r="B50" s="3" t="s">
        <v>52</v>
      </c>
      <c r="E50" s="3" t="s">
        <v>53</v>
      </c>
      <c r="K50" s="1" t="s">
        <v>307</v>
      </c>
      <c r="L50" s="1"/>
      <c r="M50" s="4"/>
      <c r="N50" s="1" t="s">
        <v>10</v>
      </c>
      <c r="O50" s="15"/>
      <c r="P50" s="1" t="s">
        <v>308</v>
      </c>
      <c r="Q50" s="1" t="s">
        <v>309</v>
      </c>
      <c r="R50" s="1" t="s">
        <v>310</v>
      </c>
      <c r="S50" s="3" t="s">
        <v>311</v>
      </c>
      <c r="T50" s="17" t="s">
        <v>312</v>
      </c>
      <c r="U50" s="5">
        <f t="shared" si="60"/>
        <v>42</v>
      </c>
      <c r="V50" s="18">
        <f t="shared" si="61"/>
        <v>31</v>
      </c>
      <c r="W50" s="19">
        <f t="shared" si="62"/>
        <v>51.042</v>
      </c>
      <c r="X50" s="17" t="s">
        <v>313</v>
      </c>
      <c r="Y50" s="5">
        <f t="shared" si="54"/>
        <v>71</v>
      </c>
      <c r="Z50" s="18">
        <f t="shared" si="55"/>
        <v>24</v>
      </c>
      <c r="AA50" s="19">
        <f t="shared" si="56"/>
        <v>33.5952</v>
      </c>
      <c r="AB50" s="20" t="str">
        <f t="shared" si="8"/>
        <v>https://openstreetmap.org/?mlat=42.530845&amp;mlon=-71.409332#map=16/42.530845/-71.409332</v>
      </c>
      <c r="AD50" s="21">
        <v>18.0</v>
      </c>
      <c r="AE50" s="3" t="s">
        <v>314</v>
      </c>
    </row>
    <row r="51">
      <c r="A51" s="1" t="str">
        <f t="shared" si="1"/>
        <v>Acton/Westford unknown road</v>
      </c>
      <c r="B51" s="3" t="s">
        <v>52</v>
      </c>
      <c r="E51" s="3" t="s">
        <v>315</v>
      </c>
      <c r="K51" s="1" t="s">
        <v>111</v>
      </c>
      <c r="L51" s="1"/>
      <c r="M51" s="1"/>
      <c r="N51" s="1" t="s">
        <v>10</v>
      </c>
      <c r="O51" s="15"/>
      <c r="P51" s="1" t="s">
        <v>316</v>
      </c>
      <c r="Q51" s="1" t="s">
        <v>317</v>
      </c>
      <c r="R51" s="4"/>
      <c r="T51" s="17"/>
      <c r="V51" s="21"/>
      <c r="W51" s="22"/>
      <c r="X51" s="17"/>
      <c r="Z51" s="21"/>
      <c r="AA51" s="22"/>
      <c r="AB51" s="23" t="str">
        <f t="shared" si="8"/>
        <v/>
      </c>
      <c r="AD51" s="21">
        <v>23.0</v>
      </c>
    </row>
    <row r="52">
      <c r="A52" s="1" t="str">
        <f t="shared" si="1"/>
        <v>Acton/Westford Westford Lane</v>
      </c>
      <c r="B52" s="3" t="s">
        <v>52</v>
      </c>
      <c r="E52" s="3" t="s">
        <v>53</v>
      </c>
      <c r="K52" s="1" t="s">
        <v>232</v>
      </c>
      <c r="L52" s="1" t="s">
        <v>233</v>
      </c>
      <c r="M52" s="1" t="s">
        <v>295</v>
      </c>
      <c r="N52" s="1" t="s">
        <v>12</v>
      </c>
      <c r="O52" s="15">
        <v>45580.0</v>
      </c>
      <c r="P52" s="1" t="s">
        <v>318</v>
      </c>
      <c r="Q52" s="4"/>
      <c r="R52" s="4"/>
      <c r="S52" s="3" t="s">
        <v>69</v>
      </c>
      <c r="T52" s="17" t="s">
        <v>319</v>
      </c>
      <c r="U52" s="5">
        <f>abs(trunc(T52))</f>
        <v>42</v>
      </c>
      <c r="V52" s="18">
        <f>trunc(abs(T52-trunc(T52))*60)</f>
        <v>31</v>
      </c>
      <c r="W52" s="19">
        <f>(T52 -(U52+V52/60))*60*60</f>
        <v>39.2664</v>
      </c>
      <c r="X52" s="17" t="s">
        <v>320</v>
      </c>
      <c r="Y52" s="5">
        <f>abs(trunc(X52))</f>
        <v>71</v>
      </c>
      <c r="Z52" s="18">
        <f>trunc(abs(X52-trunc(X52))*60)</f>
        <v>25</v>
      </c>
      <c r="AA52" s="19">
        <f>(abs(X52) -(Y52+Z52/60))*60*60</f>
        <v>34.7844</v>
      </c>
      <c r="AB52" s="20" t="str">
        <f t="shared" si="8"/>
        <v>https://openstreetmap.org/?mlat=42.527574&amp;mlon=-71.426329#map=16/42.527574/-71.426329</v>
      </c>
      <c r="AD52" s="21">
        <v>22.0</v>
      </c>
    </row>
    <row r="53">
      <c r="A53" s="4"/>
      <c r="K53" s="4"/>
      <c r="L53" s="4"/>
      <c r="M53" s="4"/>
      <c r="N53" s="4"/>
      <c r="O53" s="29"/>
      <c r="P53" s="4"/>
      <c r="Q53" s="1"/>
      <c r="R53" s="4"/>
      <c r="T53" s="17"/>
      <c r="V53" s="18"/>
      <c r="W53" s="19"/>
      <c r="X53" s="17"/>
      <c r="AB53" s="23"/>
    </row>
    <row r="54">
      <c r="A54" s="4"/>
      <c r="K54" s="4"/>
      <c r="L54" s="4"/>
      <c r="M54" s="4"/>
      <c r="N54" s="4"/>
      <c r="O54" s="29"/>
      <c r="P54" s="4"/>
      <c r="Q54" s="1"/>
      <c r="R54" s="4"/>
      <c r="T54" s="17"/>
      <c r="V54" s="18"/>
      <c r="W54" s="19"/>
      <c r="X54" s="17"/>
      <c r="AB54" s="23"/>
    </row>
    <row r="55">
      <c r="A55" s="4"/>
      <c r="K55" s="4"/>
      <c r="L55" s="4"/>
      <c r="M55" s="4"/>
      <c r="N55" s="4"/>
      <c r="O55" s="29"/>
      <c r="P55" s="4"/>
      <c r="Q55" s="1"/>
      <c r="R55" s="4"/>
      <c r="T55" s="17"/>
      <c r="V55" s="18"/>
      <c r="W55" s="19"/>
      <c r="X55" s="17"/>
      <c r="AB55" s="23"/>
    </row>
    <row r="56">
      <c r="A56" s="4"/>
      <c r="L56" s="4"/>
      <c r="M56" s="4"/>
      <c r="O56" s="30"/>
      <c r="Q56" s="1"/>
      <c r="R56" s="4"/>
      <c r="T56" s="17"/>
      <c r="V56" s="18"/>
      <c r="W56" s="19"/>
      <c r="X56" s="17"/>
      <c r="AB56" s="23"/>
    </row>
    <row r="57">
      <c r="A57" s="4"/>
      <c r="L57" s="4"/>
      <c r="M57" s="4"/>
      <c r="O57" s="30"/>
      <c r="Q57" s="4"/>
      <c r="R57" s="4"/>
      <c r="T57" s="17"/>
      <c r="V57" s="18"/>
      <c r="W57" s="19"/>
      <c r="X57" s="17"/>
      <c r="AB57" s="23"/>
    </row>
    <row r="58">
      <c r="A58" s="4"/>
      <c r="L58" s="4"/>
      <c r="M58" s="4"/>
      <c r="O58" s="30"/>
      <c r="Q58" s="1"/>
      <c r="R58" s="4"/>
      <c r="T58" s="17"/>
      <c r="V58" s="18"/>
      <c r="W58" s="19"/>
      <c r="X58" s="17"/>
      <c r="AB58" s="23"/>
    </row>
    <row r="59">
      <c r="A59" s="4"/>
      <c r="L59" s="4"/>
      <c r="M59" s="4"/>
      <c r="O59" s="30"/>
      <c r="Q59" s="1"/>
      <c r="R59" s="4"/>
      <c r="T59" s="17"/>
      <c r="V59" s="18"/>
      <c r="W59" s="19"/>
      <c r="X59" s="17"/>
      <c r="AB59" s="23"/>
    </row>
    <row r="60">
      <c r="A60" s="4"/>
      <c r="L60" s="4"/>
      <c r="M60" s="4"/>
      <c r="O60" s="30"/>
      <c r="Q60" s="4"/>
      <c r="R60" s="4"/>
      <c r="T60" s="17"/>
      <c r="V60" s="18"/>
      <c r="W60" s="19"/>
      <c r="X60" s="17"/>
      <c r="AB60" s="23"/>
    </row>
    <row r="61">
      <c r="A61" s="4"/>
      <c r="L61" s="4"/>
      <c r="M61" s="4"/>
      <c r="O61" s="30"/>
      <c r="Q61" s="1"/>
      <c r="R61" s="4"/>
      <c r="T61" s="17"/>
      <c r="V61" s="18"/>
      <c r="W61" s="19"/>
      <c r="X61" s="17"/>
      <c r="AB61" s="23"/>
    </row>
    <row r="62">
      <c r="A62" s="4"/>
      <c r="L62" s="4"/>
      <c r="M62" s="4"/>
      <c r="N62" s="4"/>
      <c r="O62" s="29"/>
      <c r="P62" s="4"/>
      <c r="Q62" s="1"/>
      <c r="R62" s="4"/>
      <c r="T62" s="17"/>
      <c r="V62" s="18"/>
      <c r="W62" s="19"/>
      <c r="X62" s="17"/>
      <c r="AB62" s="23"/>
    </row>
    <row r="63">
      <c r="A63" s="4"/>
      <c r="L63" s="4"/>
      <c r="M63" s="4"/>
      <c r="N63" s="4"/>
      <c r="O63" s="29"/>
      <c r="P63" s="4"/>
      <c r="Q63" s="4"/>
      <c r="R63" s="4"/>
      <c r="T63" s="17"/>
      <c r="V63" s="18"/>
      <c r="W63" s="19"/>
      <c r="X63" s="17"/>
      <c r="AB63" s="23"/>
    </row>
    <row r="64">
      <c r="A64" s="4"/>
      <c r="K64" s="4"/>
      <c r="L64" s="4"/>
      <c r="M64" s="4"/>
      <c r="N64" s="4"/>
      <c r="O64" s="29"/>
      <c r="P64" s="4"/>
      <c r="Q64" s="4"/>
      <c r="R64" s="4"/>
      <c r="T64" s="17"/>
      <c r="V64" s="18"/>
      <c r="W64" s="19"/>
      <c r="X64" s="17"/>
      <c r="AB64" s="23"/>
    </row>
    <row r="65">
      <c r="A65" s="4"/>
      <c r="K65" s="4"/>
      <c r="L65" s="4"/>
      <c r="M65" s="4"/>
      <c r="N65" s="4"/>
      <c r="O65" s="29"/>
      <c r="P65" s="4"/>
      <c r="Q65" s="4"/>
      <c r="R65" s="4"/>
      <c r="T65" s="17"/>
      <c r="V65" s="18"/>
      <c r="W65" s="19"/>
      <c r="X65" s="17"/>
      <c r="AB65" s="23"/>
    </row>
    <row r="66">
      <c r="A66" s="4"/>
      <c r="K66" s="4"/>
      <c r="L66" s="4"/>
      <c r="M66" s="4"/>
      <c r="N66" s="4"/>
      <c r="O66" s="29"/>
      <c r="P66" s="4"/>
      <c r="Q66" s="4"/>
      <c r="R66" s="4"/>
      <c r="T66" s="17"/>
      <c r="V66" s="18"/>
      <c r="W66" s="19"/>
      <c r="X66" s="17"/>
      <c r="AB66" s="23"/>
    </row>
    <row r="67">
      <c r="A67" s="4"/>
      <c r="K67" s="4"/>
      <c r="L67" s="4"/>
      <c r="M67" s="4"/>
      <c r="N67" s="4"/>
      <c r="O67" s="29"/>
      <c r="P67" s="4"/>
      <c r="Q67" s="4"/>
      <c r="R67" s="4"/>
      <c r="T67" s="17"/>
      <c r="V67" s="18"/>
      <c r="W67" s="19"/>
      <c r="X67" s="17"/>
      <c r="AB67" s="23"/>
    </row>
    <row r="68">
      <c r="A68" s="4"/>
      <c r="K68" s="4"/>
      <c r="L68" s="4"/>
      <c r="M68" s="4"/>
      <c r="N68" s="4"/>
      <c r="O68" s="29"/>
      <c r="P68" s="4"/>
      <c r="Q68" s="4"/>
      <c r="R68" s="4"/>
      <c r="T68" s="17"/>
      <c r="V68" s="18"/>
      <c r="W68" s="19"/>
      <c r="X68" s="17"/>
      <c r="AB68" s="23"/>
    </row>
    <row r="69">
      <c r="A69" s="4"/>
      <c r="K69" s="4"/>
      <c r="L69" s="4"/>
      <c r="M69" s="4"/>
      <c r="N69" s="4"/>
      <c r="O69" s="29"/>
      <c r="P69" s="4"/>
      <c r="Q69" s="4"/>
      <c r="R69" s="4"/>
      <c r="T69" s="17"/>
      <c r="V69" s="18"/>
      <c r="W69" s="19"/>
      <c r="X69" s="17"/>
      <c r="AB69" s="23"/>
    </row>
    <row r="70">
      <c r="A70" s="4"/>
      <c r="K70" s="4"/>
      <c r="L70" s="4"/>
      <c r="M70" s="4"/>
      <c r="N70" s="4"/>
      <c r="O70" s="29"/>
      <c r="P70" s="4"/>
      <c r="Q70" s="4"/>
      <c r="R70" s="4"/>
      <c r="T70" s="17"/>
      <c r="V70" s="18"/>
      <c r="W70" s="19"/>
      <c r="X70" s="17"/>
      <c r="AB70" s="23"/>
    </row>
    <row r="71">
      <c r="A71" s="4"/>
      <c r="K71" s="4"/>
      <c r="L71" s="4"/>
      <c r="M71" s="4"/>
      <c r="N71" s="4"/>
      <c r="O71" s="29"/>
      <c r="P71" s="4"/>
      <c r="Q71" s="4"/>
      <c r="R71" s="4"/>
      <c r="T71" s="17"/>
      <c r="V71" s="18"/>
      <c r="W71" s="19"/>
      <c r="X71" s="17"/>
      <c r="AB71" s="23"/>
    </row>
    <row r="72">
      <c r="A72" s="4"/>
      <c r="K72" s="4"/>
      <c r="L72" s="4"/>
      <c r="M72" s="4"/>
      <c r="N72" s="4"/>
      <c r="O72" s="29"/>
      <c r="P72" s="4"/>
      <c r="Q72" s="4"/>
      <c r="R72" s="4"/>
      <c r="T72" s="17"/>
      <c r="V72" s="18"/>
      <c r="W72" s="19"/>
      <c r="X72" s="17"/>
      <c r="AB72" s="23"/>
    </row>
    <row r="73">
      <c r="A73" s="4"/>
      <c r="K73" s="4"/>
      <c r="L73" s="4"/>
      <c r="M73" s="4"/>
      <c r="N73" s="4"/>
      <c r="O73" s="29"/>
      <c r="P73" s="4"/>
      <c r="Q73" s="4"/>
      <c r="R73" s="4"/>
      <c r="T73" s="17"/>
      <c r="V73" s="18"/>
      <c r="W73" s="19"/>
      <c r="X73" s="17"/>
      <c r="AB73" s="23"/>
    </row>
    <row r="74">
      <c r="A74" s="4"/>
      <c r="K74" s="4"/>
      <c r="L74" s="4"/>
      <c r="M74" s="4"/>
      <c r="N74" s="4"/>
      <c r="O74" s="29"/>
      <c r="P74" s="4"/>
      <c r="Q74" s="4"/>
      <c r="R74" s="4"/>
      <c r="T74" s="17"/>
      <c r="V74" s="18"/>
      <c r="W74" s="19"/>
      <c r="X74" s="17"/>
      <c r="AB74" s="23"/>
    </row>
    <row r="75">
      <c r="A75" s="4"/>
      <c r="K75" s="4"/>
      <c r="L75" s="4"/>
      <c r="M75" s="4"/>
      <c r="N75" s="4"/>
      <c r="O75" s="29"/>
      <c r="P75" s="4"/>
      <c r="Q75" s="4"/>
      <c r="R75" s="4"/>
      <c r="T75" s="17"/>
      <c r="V75" s="18"/>
      <c r="W75" s="19"/>
      <c r="X75" s="17"/>
      <c r="AB75" s="23"/>
    </row>
    <row r="76">
      <c r="A76" s="4"/>
      <c r="K76" s="4"/>
      <c r="L76" s="4"/>
      <c r="M76" s="4"/>
      <c r="N76" s="4"/>
      <c r="O76" s="29"/>
      <c r="P76" s="4"/>
      <c r="Q76" s="4"/>
      <c r="R76" s="4"/>
      <c r="T76" s="17"/>
      <c r="V76" s="18"/>
      <c r="W76" s="19"/>
      <c r="X76" s="17"/>
      <c r="AB76" s="23"/>
    </row>
    <row r="77">
      <c r="A77" s="4"/>
      <c r="K77" s="4"/>
      <c r="L77" s="4"/>
      <c r="M77" s="4"/>
      <c r="N77" s="4"/>
      <c r="O77" s="29"/>
      <c r="P77" s="4"/>
      <c r="Q77" s="4"/>
      <c r="R77" s="4"/>
      <c r="T77" s="17"/>
      <c r="V77" s="18"/>
      <c r="W77" s="19"/>
      <c r="X77" s="17"/>
      <c r="AB77" s="23"/>
    </row>
    <row r="78">
      <c r="A78" s="4"/>
      <c r="K78" s="4"/>
      <c r="L78" s="4"/>
      <c r="M78" s="4"/>
      <c r="N78" s="4"/>
      <c r="O78" s="29"/>
      <c r="P78" s="4"/>
      <c r="Q78" s="4"/>
      <c r="R78" s="4"/>
      <c r="T78" s="17"/>
      <c r="V78" s="18"/>
      <c r="W78" s="19"/>
      <c r="X78" s="17"/>
      <c r="AB78" s="23"/>
    </row>
    <row r="79">
      <c r="A79" s="4"/>
      <c r="K79" s="4"/>
      <c r="L79" s="4"/>
      <c r="M79" s="4"/>
      <c r="N79" s="4"/>
      <c r="O79" s="29"/>
      <c r="P79" s="4"/>
      <c r="Q79" s="4"/>
      <c r="R79" s="4"/>
      <c r="T79" s="17"/>
      <c r="V79" s="18"/>
      <c r="W79" s="19"/>
      <c r="X79" s="17"/>
      <c r="AB79" s="23"/>
    </row>
    <row r="80">
      <c r="A80" s="4"/>
      <c r="K80" s="4"/>
      <c r="L80" s="4"/>
      <c r="M80" s="4"/>
      <c r="N80" s="4"/>
      <c r="O80" s="29"/>
      <c r="P80" s="4"/>
      <c r="Q80" s="4"/>
      <c r="R80" s="4"/>
      <c r="T80" s="17"/>
      <c r="V80" s="18"/>
      <c r="W80" s="19"/>
      <c r="X80" s="17"/>
      <c r="AB80" s="23"/>
    </row>
    <row r="81">
      <c r="A81" s="4"/>
      <c r="K81" s="4"/>
      <c r="L81" s="4"/>
      <c r="M81" s="4"/>
      <c r="N81" s="4"/>
      <c r="O81" s="29"/>
      <c r="P81" s="4"/>
      <c r="Q81" s="4"/>
      <c r="R81" s="4"/>
      <c r="T81" s="17"/>
      <c r="V81" s="18"/>
      <c r="W81" s="19"/>
      <c r="X81" s="17"/>
      <c r="AB81" s="23"/>
    </row>
    <row r="82">
      <c r="A82" s="4"/>
      <c r="K82" s="4"/>
      <c r="L82" s="4"/>
      <c r="M82" s="4"/>
      <c r="N82" s="4"/>
      <c r="O82" s="29"/>
      <c r="P82" s="4"/>
      <c r="Q82" s="4"/>
      <c r="R82" s="4"/>
      <c r="T82" s="17"/>
      <c r="V82" s="18"/>
      <c r="W82" s="19"/>
      <c r="X82" s="17"/>
      <c r="AB82" s="23"/>
    </row>
    <row r="83">
      <c r="A83" s="4"/>
      <c r="K83" s="4"/>
      <c r="L83" s="4"/>
      <c r="M83" s="4"/>
      <c r="N83" s="4"/>
      <c r="O83" s="29"/>
      <c r="P83" s="4"/>
      <c r="Q83" s="4"/>
      <c r="R83" s="4"/>
      <c r="T83" s="17"/>
      <c r="V83" s="18"/>
      <c r="W83" s="19"/>
      <c r="X83" s="17"/>
      <c r="AB83" s="23"/>
    </row>
    <row r="84">
      <c r="A84" s="4"/>
      <c r="K84" s="4"/>
      <c r="L84" s="4"/>
      <c r="M84" s="4"/>
      <c r="N84" s="4"/>
      <c r="O84" s="29"/>
      <c r="P84" s="4"/>
      <c r="Q84" s="4"/>
      <c r="R84" s="4"/>
      <c r="T84" s="17"/>
      <c r="V84" s="18"/>
      <c r="W84" s="19"/>
      <c r="X84" s="17"/>
      <c r="AB84" s="23"/>
    </row>
    <row r="85">
      <c r="A85" s="4"/>
      <c r="K85" s="4"/>
      <c r="L85" s="4"/>
      <c r="M85" s="4"/>
      <c r="N85" s="4"/>
      <c r="O85" s="29"/>
      <c r="P85" s="4"/>
      <c r="Q85" s="4"/>
      <c r="R85" s="4"/>
      <c r="T85" s="17"/>
      <c r="V85" s="18"/>
      <c r="W85" s="19"/>
      <c r="X85" s="17"/>
      <c r="AB85" s="23"/>
    </row>
    <row r="86">
      <c r="A86" s="4"/>
      <c r="K86" s="4"/>
      <c r="L86" s="4"/>
      <c r="M86" s="4"/>
      <c r="N86" s="4"/>
      <c r="O86" s="29"/>
      <c r="P86" s="4"/>
      <c r="Q86" s="4"/>
      <c r="R86" s="4"/>
      <c r="T86" s="17"/>
      <c r="V86" s="18"/>
      <c r="W86" s="19"/>
      <c r="X86" s="17"/>
      <c r="AB86" s="23"/>
    </row>
    <row r="87">
      <c r="A87" s="4"/>
      <c r="K87" s="4"/>
      <c r="L87" s="4"/>
      <c r="M87" s="4"/>
      <c r="N87" s="4"/>
      <c r="O87" s="29"/>
      <c r="P87" s="4"/>
      <c r="Q87" s="4"/>
      <c r="R87" s="4"/>
      <c r="T87" s="17"/>
      <c r="V87" s="18"/>
      <c r="W87" s="19"/>
      <c r="X87" s="17"/>
      <c r="AB87" s="23"/>
    </row>
    <row r="88">
      <c r="A88" s="4"/>
      <c r="K88" s="4"/>
      <c r="L88" s="4"/>
      <c r="M88" s="4"/>
      <c r="N88" s="4"/>
      <c r="O88" s="29"/>
      <c r="P88" s="4"/>
      <c r="Q88" s="4"/>
      <c r="R88" s="4"/>
      <c r="T88" s="17"/>
      <c r="V88" s="18"/>
      <c r="W88" s="19"/>
      <c r="X88" s="17"/>
      <c r="AB88" s="23"/>
    </row>
    <row r="89">
      <c r="A89" s="4"/>
      <c r="K89" s="4"/>
      <c r="L89" s="4"/>
      <c r="M89" s="4"/>
      <c r="N89" s="4"/>
      <c r="O89" s="29"/>
      <c r="P89" s="4"/>
      <c r="Q89" s="4"/>
      <c r="R89" s="4"/>
      <c r="T89" s="17"/>
      <c r="V89" s="18"/>
      <c r="W89" s="19"/>
      <c r="X89" s="17"/>
      <c r="AB89" s="23"/>
    </row>
    <row r="90">
      <c r="A90" s="4"/>
      <c r="K90" s="4"/>
      <c r="L90" s="4"/>
      <c r="M90" s="4"/>
      <c r="N90" s="4"/>
      <c r="O90" s="29"/>
      <c r="P90" s="4"/>
      <c r="Q90" s="4"/>
      <c r="R90" s="4"/>
      <c r="T90" s="17"/>
      <c r="V90" s="18"/>
      <c r="W90" s="19"/>
      <c r="X90" s="17"/>
      <c r="AB90" s="23"/>
    </row>
    <row r="91">
      <c r="A91" s="4"/>
      <c r="K91" s="4"/>
      <c r="L91" s="4"/>
      <c r="M91" s="4"/>
      <c r="N91" s="4"/>
      <c r="O91" s="29"/>
      <c r="P91" s="4"/>
      <c r="Q91" s="4"/>
      <c r="R91" s="4"/>
      <c r="T91" s="17"/>
      <c r="V91" s="18"/>
      <c r="W91" s="19"/>
      <c r="X91" s="17"/>
      <c r="AB91" s="23"/>
    </row>
    <row r="92">
      <c r="A92" s="4"/>
      <c r="K92" s="4"/>
      <c r="L92" s="4"/>
      <c r="M92" s="4"/>
      <c r="N92" s="4"/>
      <c r="O92" s="29"/>
      <c r="P92" s="4"/>
      <c r="Q92" s="4"/>
      <c r="R92" s="4"/>
      <c r="T92" s="17"/>
      <c r="V92" s="18"/>
      <c r="W92" s="19"/>
      <c r="X92" s="17"/>
      <c r="AB92" s="23"/>
    </row>
    <row r="93">
      <c r="A93" s="4"/>
      <c r="K93" s="4"/>
      <c r="L93" s="4"/>
      <c r="M93" s="4"/>
      <c r="N93" s="4"/>
      <c r="O93" s="29"/>
      <c r="P93" s="4"/>
      <c r="Q93" s="4"/>
      <c r="R93" s="4"/>
      <c r="T93" s="17"/>
      <c r="V93" s="18"/>
      <c r="W93" s="19"/>
      <c r="X93" s="17"/>
      <c r="AB93" s="23"/>
    </row>
    <row r="94">
      <c r="A94" s="4"/>
      <c r="K94" s="4"/>
      <c r="L94" s="4"/>
      <c r="M94" s="4"/>
      <c r="N94" s="4"/>
      <c r="O94" s="29"/>
      <c r="P94" s="4"/>
      <c r="Q94" s="4"/>
      <c r="R94" s="4"/>
      <c r="T94" s="17"/>
      <c r="V94" s="18"/>
      <c r="W94" s="19"/>
      <c r="X94" s="17"/>
      <c r="AB94" s="23"/>
    </row>
    <row r="95">
      <c r="A95" s="4"/>
      <c r="K95" s="4"/>
      <c r="L95" s="4"/>
      <c r="M95" s="4"/>
      <c r="N95" s="4"/>
      <c r="O95" s="29"/>
      <c r="P95" s="4"/>
      <c r="Q95" s="4"/>
      <c r="R95" s="4"/>
      <c r="T95" s="17"/>
      <c r="V95" s="18"/>
      <c r="W95" s="19"/>
      <c r="X95" s="17"/>
      <c r="AB95" s="23"/>
    </row>
    <row r="96">
      <c r="A96" s="4"/>
      <c r="K96" s="4"/>
      <c r="L96" s="4"/>
      <c r="M96" s="4"/>
      <c r="N96" s="4"/>
      <c r="O96" s="29"/>
      <c r="P96" s="4"/>
      <c r="Q96" s="4"/>
      <c r="R96" s="4"/>
      <c r="T96" s="17"/>
      <c r="V96" s="18"/>
      <c r="W96" s="19"/>
      <c r="X96" s="17"/>
      <c r="AB96" s="23"/>
    </row>
    <row r="97">
      <c r="A97" s="4"/>
      <c r="K97" s="4"/>
      <c r="L97" s="4"/>
      <c r="M97" s="4"/>
      <c r="N97" s="4"/>
      <c r="O97" s="29"/>
      <c r="P97" s="4"/>
      <c r="Q97" s="4"/>
      <c r="R97" s="4"/>
      <c r="T97" s="17"/>
      <c r="V97" s="18"/>
      <c r="W97" s="19"/>
      <c r="X97" s="17"/>
      <c r="AB97" s="23"/>
    </row>
    <row r="98">
      <c r="A98" s="4"/>
      <c r="K98" s="4"/>
      <c r="L98" s="4"/>
      <c r="M98" s="4"/>
      <c r="N98" s="4"/>
      <c r="O98" s="29"/>
      <c r="P98" s="4"/>
      <c r="Q98" s="4"/>
      <c r="R98" s="4"/>
      <c r="T98" s="17"/>
      <c r="V98" s="18"/>
      <c r="W98" s="19"/>
      <c r="X98" s="17"/>
      <c r="AB98" s="23"/>
    </row>
    <row r="99">
      <c r="A99" s="4"/>
      <c r="K99" s="4"/>
      <c r="L99" s="4"/>
      <c r="M99" s="4"/>
      <c r="N99" s="4"/>
      <c r="O99" s="29"/>
      <c r="P99" s="4"/>
      <c r="Q99" s="4"/>
      <c r="R99" s="4"/>
      <c r="T99" s="17"/>
      <c r="V99" s="18"/>
      <c r="W99" s="19"/>
      <c r="X99" s="17"/>
      <c r="AB99" s="23"/>
    </row>
    <row r="100">
      <c r="A100" s="4"/>
      <c r="K100" s="4"/>
      <c r="L100" s="4"/>
      <c r="M100" s="4"/>
      <c r="N100" s="4"/>
      <c r="O100" s="29"/>
      <c r="P100" s="4"/>
      <c r="Q100" s="4"/>
      <c r="R100" s="4"/>
      <c r="T100" s="17"/>
      <c r="V100" s="18"/>
      <c r="W100" s="19"/>
      <c r="X100" s="17"/>
      <c r="AB100" s="23"/>
    </row>
    <row r="101">
      <c r="A101" s="4"/>
      <c r="K101" s="4"/>
      <c r="L101" s="4"/>
      <c r="M101" s="4"/>
      <c r="N101" s="4"/>
      <c r="O101" s="29"/>
      <c r="P101" s="4"/>
      <c r="Q101" s="4"/>
      <c r="R101" s="4"/>
      <c r="T101" s="17"/>
      <c r="V101" s="18"/>
      <c r="W101" s="19"/>
      <c r="X101" s="17"/>
      <c r="AB101" s="23"/>
    </row>
    <row r="102">
      <c r="A102" s="4"/>
      <c r="K102" s="4"/>
      <c r="L102" s="4"/>
      <c r="M102" s="4"/>
      <c r="N102" s="4"/>
      <c r="O102" s="29"/>
      <c r="P102" s="4"/>
      <c r="Q102" s="4"/>
      <c r="R102" s="4"/>
      <c r="T102" s="17"/>
      <c r="V102" s="18"/>
      <c r="W102" s="19"/>
      <c r="X102" s="17"/>
      <c r="AB102" s="23"/>
    </row>
    <row r="103">
      <c r="A103" s="4"/>
      <c r="K103" s="4"/>
      <c r="L103" s="4"/>
      <c r="M103" s="4"/>
      <c r="N103" s="4"/>
      <c r="O103" s="29"/>
      <c r="P103" s="4"/>
      <c r="Q103" s="4"/>
      <c r="R103" s="4"/>
      <c r="T103" s="17"/>
      <c r="V103" s="18"/>
      <c r="W103" s="19"/>
      <c r="X103" s="17"/>
      <c r="AB103" s="23"/>
    </row>
    <row r="104">
      <c r="A104" s="4"/>
      <c r="K104" s="4"/>
      <c r="L104" s="4"/>
      <c r="M104" s="4"/>
      <c r="N104" s="4"/>
      <c r="O104" s="29"/>
      <c r="P104" s="4"/>
      <c r="Q104" s="4"/>
      <c r="R104" s="4"/>
      <c r="T104" s="17"/>
      <c r="V104" s="18"/>
      <c r="W104" s="19"/>
      <c r="X104" s="17"/>
      <c r="AB104" s="23"/>
    </row>
    <row r="105">
      <c r="A105" s="4"/>
      <c r="K105" s="4"/>
      <c r="L105" s="4"/>
      <c r="M105" s="4"/>
      <c r="N105" s="4"/>
      <c r="O105" s="29"/>
      <c r="P105" s="4"/>
      <c r="Q105" s="4"/>
      <c r="R105" s="4"/>
      <c r="T105" s="17"/>
      <c r="V105" s="18"/>
      <c r="W105" s="19"/>
      <c r="X105" s="17"/>
      <c r="AB105" s="23"/>
    </row>
    <row r="106">
      <c r="A106" s="4"/>
      <c r="K106" s="4"/>
      <c r="L106" s="4"/>
      <c r="M106" s="4"/>
      <c r="N106" s="4"/>
      <c r="O106" s="29"/>
      <c r="P106" s="4"/>
      <c r="Q106" s="4"/>
      <c r="R106" s="4"/>
      <c r="T106" s="17"/>
      <c r="V106" s="18"/>
      <c r="W106" s="19"/>
      <c r="X106" s="17"/>
      <c r="AB106" s="23"/>
    </row>
    <row r="107">
      <c r="A107" s="4"/>
      <c r="K107" s="4"/>
      <c r="L107" s="4"/>
      <c r="M107" s="4"/>
      <c r="N107" s="4"/>
      <c r="O107" s="29"/>
      <c r="P107" s="4"/>
      <c r="Q107" s="4"/>
      <c r="R107" s="4"/>
      <c r="T107" s="17"/>
      <c r="V107" s="18"/>
      <c r="W107" s="19"/>
      <c r="X107" s="17"/>
      <c r="AB107" s="23"/>
    </row>
    <row r="108">
      <c r="A108" s="4"/>
      <c r="K108" s="4"/>
      <c r="L108" s="4"/>
      <c r="M108" s="4"/>
      <c r="N108" s="4"/>
      <c r="O108" s="29"/>
      <c r="P108" s="4"/>
      <c r="Q108" s="4"/>
      <c r="R108" s="4"/>
      <c r="T108" s="17"/>
      <c r="V108" s="18"/>
      <c r="W108" s="19"/>
      <c r="X108" s="17"/>
      <c r="AB108" s="23"/>
    </row>
    <row r="109">
      <c r="A109" s="4"/>
      <c r="K109" s="4"/>
      <c r="L109" s="4"/>
      <c r="M109" s="4"/>
      <c r="N109" s="4"/>
      <c r="O109" s="29"/>
      <c r="P109" s="4"/>
      <c r="Q109" s="4"/>
      <c r="R109" s="4"/>
      <c r="T109" s="17"/>
      <c r="V109" s="18"/>
      <c r="W109" s="19"/>
      <c r="X109" s="17"/>
      <c r="AB109" s="23"/>
    </row>
    <row r="110">
      <c r="A110" s="4"/>
      <c r="K110" s="4"/>
      <c r="L110" s="4"/>
      <c r="M110" s="4"/>
      <c r="N110" s="4"/>
      <c r="O110" s="29"/>
      <c r="P110" s="4"/>
      <c r="Q110" s="4"/>
      <c r="R110" s="4"/>
      <c r="T110" s="17"/>
      <c r="V110" s="18"/>
      <c r="W110" s="19"/>
      <c r="X110" s="17"/>
      <c r="AB110" s="23"/>
    </row>
    <row r="111">
      <c r="A111" s="4"/>
      <c r="K111" s="4"/>
      <c r="L111" s="4"/>
      <c r="M111" s="4"/>
      <c r="N111" s="4"/>
      <c r="O111" s="29"/>
      <c r="P111" s="4"/>
      <c r="Q111" s="4"/>
      <c r="R111" s="4"/>
      <c r="T111" s="17"/>
      <c r="V111" s="18"/>
      <c r="W111" s="19"/>
      <c r="X111" s="17"/>
      <c r="AB111" s="23"/>
    </row>
    <row r="112">
      <c r="A112" s="4"/>
      <c r="K112" s="4"/>
      <c r="L112" s="4"/>
      <c r="M112" s="4"/>
      <c r="N112" s="4"/>
      <c r="O112" s="29"/>
      <c r="P112" s="4"/>
      <c r="Q112" s="4"/>
      <c r="R112" s="4"/>
      <c r="T112" s="17"/>
      <c r="V112" s="18"/>
      <c r="W112" s="19"/>
      <c r="X112" s="17"/>
      <c r="AB112" s="23"/>
    </row>
    <row r="113">
      <c r="A113" s="4"/>
      <c r="K113" s="4"/>
      <c r="L113" s="4"/>
      <c r="M113" s="4"/>
      <c r="N113" s="4"/>
      <c r="O113" s="29"/>
      <c r="P113" s="4"/>
      <c r="Q113" s="4"/>
      <c r="R113" s="4"/>
      <c r="T113" s="17"/>
      <c r="V113" s="18"/>
      <c r="W113" s="19"/>
      <c r="X113" s="17"/>
      <c r="AB113" s="23"/>
    </row>
    <row r="114">
      <c r="A114" s="4"/>
      <c r="K114" s="4"/>
      <c r="L114" s="4"/>
      <c r="M114" s="4"/>
      <c r="N114" s="4"/>
      <c r="O114" s="29"/>
      <c r="P114" s="4"/>
      <c r="Q114" s="4"/>
      <c r="R114" s="4"/>
      <c r="T114" s="17"/>
      <c r="V114" s="18"/>
      <c r="W114" s="19"/>
      <c r="X114" s="17"/>
      <c r="AB114" s="23"/>
    </row>
    <row r="115">
      <c r="A115" s="4"/>
      <c r="K115" s="4"/>
      <c r="L115" s="4"/>
      <c r="M115" s="4"/>
      <c r="N115" s="4"/>
      <c r="O115" s="29"/>
      <c r="P115" s="4"/>
      <c r="Q115" s="4"/>
      <c r="R115" s="4"/>
      <c r="T115" s="17"/>
      <c r="V115" s="18"/>
      <c r="W115" s="19"/>
      <c r="X115" s="17"/>
      <c r="AB115" s="23"/>
    </row>
    <row r="116">
      <c r="A116" s="4"/>
      <c r="K116" s="4"/>
      <c r="L116" s="4"/>
      <c r="M116" s="4"/>
      <c r="N116" s="4"/>
      <c r="O116" s="29"/>
      <c r="P116" s="4"/>
      <c r="Q116" s="4"/>
      <c r="R116" s="4"/>
      <c r="T116" s="17"/>
      <c r="V116" s="18"/>
      <c r="W116" s="19"/>
      <c r="X116" s="17"/>
      <c r="AB116" s="23"/>
    </row>
    <row r="117">
      <c r="A117" s="4"/>
      <c r="K117" s="4"/>
      <c r="L117" s="4"/>
      <c r="M117" s="4"/>
      <c r="N117" s="4"/>
      <c r="O117" s="29"/>
      <c r="P117" s="4"/>
      <c r="Q117" s="4"/>
      <c r="R117" s="4"/>
      <c r="T117" s="17"/>
      <c r="V117" s="18"/>
      <c r="W117" s="19"/>
      <c r="X117" s="17"/>
      <c r="AB117" s="23"/>
    </row>
    <row r="118">
      <c r="A118" s="4"/>
      <c r="K118" s="4"/>
      <c r="L118" s="4"/>
      <c r="M118" s="4"/>
      <c r="N118" s="4"/>
      <c r="O118" s="29"/>
      <c r="P118" s="4"/>
      <c r="Q118" s="4"/>
      <c r="R118" s="4"/>
      <c r="T118" s="17"/>
      <c r="V118" s="18"/>
      <c r="W118" s="19"/>
      <c r="X118" s="17"/>
      <c r="AB118" s="23"/>
    </row>
    <row r="119">
      <c r="A119" s="4"/>
      <c r="K119" s="4"/>
      <c r="L119" s="4"/>
      <c r="M119" s="4"/>
      <c r="N119" s="4"/>
      <c r="O119" s="29"/>
      <c r="P119" s="4"/>
      <c r="Q119" s="4"/>
      <c r="R119" s="4"/>
      <c r="T119" s="17"/>
      <c r="V119" s="18"/>
      <c r="W119" s="19"/>
      <c r="X119" s="17"/>
      <c r="AB119" s="23"/>
    </row>
    <row r="120">
      <c r="A120" s="4"/>
      <c r="K120" s="4"/>
      <c r="L120" s="4"/>
      <c r="M120" s="4"/>
      <c r="N120" s="4"/>
      <c r="O120" s="29"/>
      <c r="P120" s="4"/>
      <c r="Q120" s="4"/>
      <c r="R120" s="4"/>
      <c r="T120" s="17"/>
      <c r="V120" s="18"/>
      <c r="W120" s="19"/>
      <c r="X120" s="17"/>
      <c r="AB120" s="23"/>
    </row>
    <row r="121">
      <c r="A121" s="4"/>
      <c r="K121" s="4"/>
      <c r="L121" s="4"/>
      <c r="M121" s="4"/>
      <c r="N121" s="4"/>
      <c r="O121" s="29"/>
      <c r="P121" s="4"/>
      <c r="Q121" s="4"/>
      <c r="R121" s="4"/>
      <c r="T121" s="17"/>
      <c r="V121" s="18"/>
      <c r="W121" s="19"/>
      <c r="X121" s="17"/>
      <c r="AB121" s="23"/>
    </row>
    <row r="122">
      <c r="A122" s="4"/>
      <c r="K122" s="4"/>
      <c r="L122" s="4"/>
      <c r="M122" s="4"/>
      <c r="N122" s="4"/>
      <c r="O122" s="29"/>
      <c r="P122" s="4"/>
      <c r="Q122" s="4"/>
      <c r="R122" s="4"/>
      <c r="T122" s="17"/>
      <c r="V122" s="18"/>
      <c r="W122" s="19"/>
      <c r="X122" s="17"/>
      <c r="AB122" s="23"/>
    </row>
    <row r="123">
      <c r="A123" s="4"/>
      <c r="K123" s="4"/>
      <c r="L123" s="4"/>
      <c r="M123" s="4"/>
      <c r="N123" s="4"/>
      <c r="O123" s="29"/>
      <c r="P123" s="4"/>
      <c r="Q123" s="4"/>
      <c r="R123" s="4"/>
      <c r="T123" s="17"/>
      <c r="V123" s="18"/>
      <c r="W123" s="19"/>
      <c r="X123" s="17"/>
      <c r="AB123" s="23"/>
    </row>
    <row r="124">
      <c r="A124" s="4"/>
      <c r="K124" s="4"/>
      <c r="L124" s="4"/>
      <c r="M124" s="4"/>
      <c r="N124" s="4"/>
      <c r="O124" s="29"/>
      <c r="P124" s="4"/>
      <c r="Q124" s="4"/>
      <c r="R124" s="4"/>
      <c r="T124" s="17"/>
      <c r="V124" s="18"/>
      <c r="W124" s="19"/>
      <c r="X124" s="17"/>
      <c r="AB124" s="23"/>
    </row>
    <row r="125">
      <c r="A125" s="4"/>
      <c r="K125" s="4"/>
      <c r="L125" s="4"/>
      <c r="M125" s="4"/>
      <c r="N125" s="4"/>
      <c r="O125" s="29"/>
      <c r="P125" s="4"/>
      <c r="Q125" s="4"/>
      <c r="R125" s="4"/>
      <c r="T125" s="17"/>
      <c r="V125" s="18"/>
      <c r="W125" s="19"/>
      <c r="X125" s="17"/>
      <c r="AB125" s="23"/>
    </row>
    <row r="126">
      <c r="A126" s="4"/>
      <c r="K126" s="4"/>
      <c r="L126" s="4"/>
      <c r="M126" s="4"/>
      <c r="N126" s="4"/>
      <c r="O126" s="29"/>
      <c r="P126" s="4"/>
      <c r="Q126" s="4"/>
      <c r="R126" s="4"/>
      <c r="T126" s="17"/>
      <c r="V126" s="18"/>
      <c r="W126" s="19"/>
      <c r="X126" s="17"/>
      <c r="AB126" s="23"/>
    </row>
    <row r="127">
      <c r="A127" s="4"/>
      <c r="K127" s="4"/>
      <c r="L127" s="4"/>
      <c r="M127" s="4"/>
      <c r="N127" s="4"/>
      <c r="O127" s="29"/>
      <c r="P127" s="4"/>
      <c r="Q127" s="4"/>
      <c r="R127" s="4"/>
      <c r="T127" s="17"/>
      <c r="V127" s="18"/>
      <c r="W127" s="19"/>
      <c r="X127" s="17"/>
      <c r="AB127" s="23"/>
    </row>
    <row r="128">
      <c r="A128" s="4"/>
      <c r="K128" s="4"/>
      <c r="L128" s="4"/>
      <c r="M128" s="4"/>
      <c r="N128" s="4"/>
      <c r="O128" s="29"/>
      <c r="P128" s="4"/>
      <c r="Q128" s="4"/>
      <c r="R128" s="4"/>
      <c r="T128" s="17"/>
      <c r="V128" s="18"/>
      <c r="W128" s="19"/>
      <c r="X128" s="17"/>
      <c r="AB128" s="23"/>
    </row>
    <row r="129">
      <c r="A129" s="4"/>
      <c r="K129" s="4"/>
      <c r="L129" s="4"/>
      <c r="M129" s="4"/>
      <c r="N129" s="4"/>
      <c r="O129" s="29"/>
      <c r="P129" s="4"/>
      <c r="Q129" s="4"/>
      <c r="R129" s="4"/>
      <c r="T129" s="17"/>
      <c r="V129" s="18"/>
      <c r="W129" s="19"/>
      <c r="X129" s="17"/>
      <c r="AB129" s="23"/>
    </row>
    <row r="130">
      <c r="A130" s="4"/>
      <c r="K130" s="4"/>
      <c r="L130" s="4"/>
      <c r="M130" s="4"/>
      <c r="N130" s="4"/>
      <c r="O130" s="29"/>
      <c r="P130" s="4"/>
      <c r="Q130" s="4"/>
      <c r="R130" s="4"/>
      <c r="T130" s="17"/>
      <c r="V130" s="18"/>
      <c r="W130" s="19"/>
      <c r="X130" s="17"/>
      <c r="AB130" s="23"/>
    </row>
    <row r="131">
      <c r="A131" s="4"/>
      <c r="K131" s="4"/>
      <c r="L131" s="4"/>
      <c r="M131" s="4"/>
      <c r="N131" s="4"/>
      <c r="O131" s="29"/>
      <c r="P131" s="4"/>
      <c r="Q131" s="4"/>
      <c r="R131" s="4"/>
      <c r="T131" s="17"/>
      <c r="V131" s="18"/>
      <c r="W131" s="19"/>
      <c r="X131" s="17"/>
      <c r="AB131" s="23"/>
    </row>
    <row r="132">
      <c r="A132" s="4"/>
      <c r="K132" s="4"/>
      <c r="L132" s="4"/>
      <c r="M132" s="4"/>
      <c r="N132" s="4"/>
      <c r="O132" s="29"/>
      <c r="P132" s="4"/>
      <c r="Q132" s="4"/>
      <c r="R132" s="4"/>
      <c r="T132" s="17"/>
      <c r="V132" s="18"/>
      <c r="W132" s="19"/>
      <c r="X132" s="17"/>
      <c r="AB132" s="23"/>
    </row>
    <row r="133">
      <c r="A133" s="4"/>
      <c r="K133" s="4"/>
      <c r="L133" s="4"/>
      <c r="M133" s="4"/>
      <c r="N133" s="4"/>
      <c r="O133" s="29"/>
      <c r="P133" s="4"/>
      <c r="Q133" s="4"/>
      <c r="R133" s="4"/>
      <c r="T133" s="17"/>
      <c r="V133" s="18"/>
      <c r="W133" s="19"/>
      <c r="X133" s="17"/>
      <c r="AB133" s="23"/>
    </row>
    <row r="134">
      <c r="A134" s="4"/>
      <c r="K134" s="4"/>
      <c r="L134" s="4"/>
      <c r="M134" s="4"/>
      <c r="N134" s="4"/>
      <c r="O134" s="29"/>
      <c r="P134" s="4"/>
      <c r="Q134" s="4"/>
      <c r="R134" s="4"/>
      <c r="T134" s="17"/>
      <c r="V134" s="18"/>
      <c r="W134" s="19"/>
      <c r="X134" s="17"/>
      <c r="AB134" s="23"/>
    </row>
    <row r="135">
      <c r="A135" s="4"/>
      <c r="K135" s="4"/>
      <c r="L135" s="4"/>
      <c r="M135" s="4"/>
      <c r="N135" s="4"/>
      <c r="O135" s="29"/>
      <c r="P135" s="4"/>
      <c r="Q135" s="4"/>
      <c r="R135" s="4"/>
      <c r="T135" s="17"/>
      <c r="V135" s="18"/>
      <c r="W135" s="19"/>
      <c r="X135" s="17"/>
      <c r="AB135" s="23"/>
    </row>
    <row r="136">
      <c r="A136" s="4"/>
      <c r="K136" s="4"/>
      <c r="L136" s="4"/>
      <c r="M136" s="4"/>
      <c r="N136" s="4"/>
      <c r="O136" s="29"/>
      <c r="P136" s="4"/>
      <c r="Q136" s="4"/>
      <c r="R136" s="4"/>
      <c r="T136" s="17"/>
      <c r="V136" s="18"/>
      <c r="W136" s="19"/>
      <c r="X136" s="17"/>
      <c r="AB136" s="23"/>
    </row>
    <row r="137">
      <c r="A137" s="4"/>
      <c r="K137" s="4"/>
      <c r="L137" s="4"/>
      <c r="M137" s="4"/>
      <c r="N137" s="4"/>
      <c r="O137" s="29"/>
      <c r="P137" s="4"/>
      <c r="Q137" s="4"/>
      <c r="R137" s="4"/>
      <c r="T137" s="17"/>
      <c r="V137" s="18"/>
      <c r="W137" s="19"/>
      <c r="X137" s="17"/>
      <c r="AB137" s="23"/>
    </row>
    <row r="138">
      <c r="A138" s="4"/>
      <c r="K138" s="4"/>
      <c r="L138" s="4"/>
      <c r="M138" s="4"/>
      <c r="N138" s="4"/>
      <c r="O138" s="29"/>
      <c r="P138" s="4"/>
      <c r="Q138" s="4"/>
      <c r="R138" s="4"/>
      <c r="T138" s="17"/>
      <c r="V138" s="18"/>
      <c r="W138" s="19"/>
      <c r="X138" s="17"/>
      <c r="AB138" s="23"/>
    </row>
    <row r="139">
      <c r="A139" s="4"/>
      <c r="K139" s="4"/>
      <c r="L139" s="4"/>
      <c r="M139" s="4"/>
      <c r="N139" s="4"/>
      <c r="O139" s="29"/>
      <c r="P139" s="4"/>
      <c r="Q139" s="4"/>
      <c r="R139" s="4"/>
      <c r="T139" s="17"/>
      <c r="V139" s="18"/>
      <c r="W139" s="19"/>
      <c r="X139" s="17"/>
      <c r="AB139" s="23"/>
    </row>
    <row r="140">
      <c r="A140" s="4"/>
      <c r="K140" s="4"/>
      <c r="L140" s="4"/>
      <c r="M140" s="4"/>
      <c r="N140" s="4"/>
      <c r="O140" s="29"/>
      <c r="P140" s="4"/>
      <c r="Q140" s="4"/>
      <c r="R140" s="4"/>
      <c r="T140" s="17"/>
      <c r="V140" s="18"/>
      <c r="W140" s="19"/>
      <c r="X140" s="17"/>
      <c r="AB140" s="23"/>
    </row>
    <row r="141">
      <c r="A141" s="4"/>
      <c r="K141" s="4"/>
      <c r="L141" s="4"/>
      <c r="M141" s="4"/>
      <c r="N141" s="4"/>
      <c r="O141" s="29"/>
      <c r="P141" s="4"/>
      <c r="Q141" s="4"/>
      <c r="R141" s="4"/>
      <c r="T141" s="17"/>
      <c r="V141" s="18"/>
      <c r="W141" s="19"/>
      <c r="X141" s="17"/>
      <c r="AB141" s="23"/>
    </row>
    <row r="142">
      <c r="A142" s="4"/>
      <c r="K142" s="4"/>
      <c r="L142" s="4"/>
      <c r="M142" s="4"/>
      <c r="N142" s="4"/>
      <c r="O142" s="29"/>
      <c r="P142" s="4"/>
      <c r="Q142" s="4"/>
      <c r="R142" s="4"/>
      <c r="T142" s="17"/>
      <c r="V142" s="18"/>
      <c r="W142" s="19"/>
      <c r="X142" s="17"/>
      <c r="AB142" s="23"/>
    </row>
    <row r="143">
      <c r="A143" s="4"/>
      <c r="K143" s="4"/>
      <c r="L143" s="4"/>
      <c r="M143" s="4"/>
      <c r="N143" s="4"/>
      <c r="O143" s="29"/>
      <c r="P143" s="4"/>
      <c r="Q143" s="4"/>
      <c r="R143" s="4"/>
      <c r="T143" s="17"/>
      <c r="V143" s="18"/>
      <c r="W143" s="19"/>
      <c r="X143" s="17"/>
      <c r="AB143" s="23"/>
    </row>
    <row r="144">
      <c r="A144" s="4"/>
      <c r="K144" s="4"/>
      <c r="L144" s="4"/>
      <c r="M144" s="4"/>
      <c r="N144" s="4"/>
      <c r="O144" s="29"/>
      <c r="P144" s="4"/>
      <c r="Q144" s="4"/>
      <c r="R144" s="4"/>
      <c r="T144" s="17"/>
      <c r="V144" s="18"/>
      <c r="W144" s="19"/>
      <c r="X144" s="17"/>
      <c r="AB144" s="23"/>
    </row>
    <row r="145">
      <c r="A145" s="4"/>
      <c r="K145" s="4"/>
      <c r="L145" s="4"/>
      <c r="M145" s="4"/>
      <c r="N145" s="4"/>
      <c r="O145" s="29"/>
      <c r="P145" s="4"/>
      <c r="Q145" s="4"/>
      <c r="R145" s="4"/>
      <c r="T145" s="17"/>
      <c r="V145" s="18"/>
      <c r="W145" s="19"/>
      <c r="X145" s="17"/>
      <c r="AB145" s="23"/>
    </row>
    <row r="146">
      <c r="A146" s="4"/>
      <c r="K146" s="4"/>
      <c r="L146" s="4"/>
      <c r="M146" s="4"/>
      <c r="N146" s="4"/>
      <c r="O146" s="29"/>
      <c r="P146" s="4"/>
      <c r="Q146" s="4"/>
      <c r="R146" s="4"/>
      <c r="T146" s="17"/>
      <c r="V146" s="18"/>
      <c r="W146" s="19"/>
      <c r="X146" s="17"/>
      <c r="AB146" s="23"/>
    </row>
    <row r="147">
      <c r="A147" s="4"/>
      <c r="K147" s="4"/>
      <c r="L147" s="4"/>
      <c r="M147" s="4"/>
      <c r="N147" s="4"/>
      <c r="O147" s="29"/>
      <c r="P147" s="4"/>
      <c r="Q147" s="4"/>
      <c r="R147" s="4"/>
      <c r="T147" s="17"/>
      <c r="V147" s="18"/>
      <c r="W147" s="19"/>
      <c r="X147" s="17"/>
      <c r="AB147" s="23"/>
    </row>
    <row r="148">
      <c r="A148" s="4"/>
      <c r="K148" s="4"/>
      <c r="L148" s="4"/>
      <c r="M148" s="4"/>
      <c r="N148" s="4"/>
      <c r="O148" s="29"/>
      <c r="P148" s="4"/>
      <c r="Q148" s="4"/>
      <c r="R148" s="4"/>
      <c r="T148" s="17"/>
      <c r="V148" s="18"/>
      <c r="W148" s="19"/>
      <c r="X148" s="17"/>
      <c r="AB148" s="23"/>
    </row>
    <row r="149">
      <c r="A149" s="4"/>
      <c r="K149" s="4"/>
      <c r="L149" s="4"/>
      <c r="M149" s="4"/>
      <c r="N149" s="4"/>
      <c r="O149" s="29"/>
      <c r="P149" s="4"/>
      <c r="Q149" s="4"/>
      <c r="R149" s="4"/>
      <c r="T149" s="17"/>
      <c r="V149" s="18"/>
      <c r="W149" s="19"/>
      <c r="X149" s="17"/>
      <c r="AB149" s="23"/>
    </row>
    <row r="150">
      <c r="A150" s="4"/>
      <c r="K150" s="4"/>
      <c r="L150" s="4"/>
      <c r="M150" s="4"/>
      <c r="N150" s="4"/>
      <c r="O150" s="29"/>
      <c r="P150" s="4"/>
      <c r="Q150" s="4"/>
      <c r="R150" s="4"/>
      <c r="T150" s="17"/>
      <c r="V150" s="18"/>
      <c r="W150" s="19"/>
      <c r="X150" s="17"/>
      <c r="AB150" s="23"/>
    </row>
    <row r="151">
      <c r="A151" s="4"/>
      <c r="K151" s="4"/>
      <c r="L151" s="4"/>
      <c r="M151" s="4"/>
      <c r="N151" s="4"/>
      <c r="O151" s="29"/>
      <c r="P151" s="4"/>
      <c r="Q151" s="4"/>
      <c r="R151" s="4"/>
      <c r="T151" s="17"/>
      <c r="V151" s="18"/>
      <c r="W151" s="19"/>
      <c r="X151" s="17"/>
      <c r="AB151" s="23"/>
    </row>
    <row r="152">
      <c r="A152" s="4"/>
      <c r="K152" s="4"/>
      <c r="L152" s="4"/>
      <c r="M152" s="4"/>
      <c r="N152" s="4"/>
      <c r="O152" s="29"/>
      <c r="P152" s="4"/>
      <c r="Q152" s="4"/>
      <c r="R152" s="4"/>
      <c r="T152" s="17"/>
      <c r="V152" s="18"/>
      <c r="W152" s="19"/>
      <c r="X152" s="17"/>
      <c r="AB152" s="23"/>
    </row>
    <row r="153">
      <c r="A153" s="4"/>
      <c r="K153" s="4"/>
      <c r="L153" s="4"/>
      <c r="M153" s="4"/>
      <c r="N153" s="4"/>
      <c r="O153" s="29"/>
      <c r="P153" s="4"/>
      <c r="Q153" s="4"/>
      <c r="R153" s="4"/>
      <c r="T153" s="17"/>
      <c r="V153" s="18"/>
      <c r="W153" s="19"/>
      <c r="X153" s="17"/>
      <c r="AB153" s="23"/>
    </row>
    <row r="154">
      <c r="A154" s="4"/>
      <c r="K154" s="4"/>
      <c r="L154" s="4"/>
      <c r="M154" s="4"/>
      <c r="N154" s="4"/>
      <c r="O154" s="29"/>
      <c r="P154" s="4"/>
      <c r="Q154" s="4"/>
      <c r="R154" s="4"/>
      <c r="T154" s="17"/>
      <c r="V154" s="18"/>
      <c r="W154" s="19"/>
      <c r="X154" s="17"/>
      <c r="AB154" s="23"/>
    </row>
    <row r="155">
      <c r="A155" s="4"/>
      <c r="K155" s="4"/>
      <c r="L155" s="4"/>
      <c r="M155" s="4"/>
      <c r="N155" s="4"/>
      <c r="O155" s="29"/>
      <c r="P155" s="4"/>
      <c r="Q155" s="4"/>
      <c r="R155" s="4"/>
      <c r="T155" s="17"/>
      <c r="V155" s="18"/>
      <c r="W155" s="19"/>
      <c r="X155" s="17"/>
      <c r="AB155" s="23"/>
    </row>
    <row r="156">
      <c r="A156" s="4"/>
      <c r="K156" s="4"/>
      <c r="L156" s="4"/>
      <c r="M156" s="4"/>
      <c r="N156" s="4"/>
      <c r="O156" s="29"/>
      <c r="P156" s="4"/>
      <c r="Q156" s="4"/>
      <c r="R156" s="4"/>
      <c r="T156" s="17"/>
      <c r="V156" s="18"/>
      <c r="W156" s="19"/>
      <c r="X156" s="17"/>
      <c r="AB156" s="23"/>
    </row>
    <row r="157">
      <c r="A157" s="4"/>
      <c r="K157" s="4"/>
      <c r="L157" s="4"/>
      <c r="M157" s="4"/>
      <c r="N157" s="4"/>
      <c r="O157" s="29"/>
      <c r="P157" s="4"/>
      <c r="Q157" s="4"/>
      <c r="R157" s="4"/>
      <c r="T157" s="17"/>
      <c r="V157" s="18"/>
      <c r="W157" s="19"/>
      <c r="X157" s="17"/>
      <c r="AB157" s="23"/>
    </row>
    <row r="158">
      <c r="A158" s="4"/>
      <c r="K158" s="4"/>
      <c r="L158" s="4"/>
      <c r="M158" s="4"/>
      <c r="N158" s="4"/>
      <c r="O158" s="29"/>
      <c r="P158" s="4"/>
      <c r="Q158" s="4"/>
      <c r="R158" s="4"/>
      <c r="T158" s="17"/>
      <c r="V158" s="18"/>
      <c r="W158" s="19"/>
      <c r="X158" s="17"/>
      <c r="AB158" s="23"/>
    </row>
    <row r="159">
      <c r="A159" s="4"/>
      <c r="K159" s="4"/>
      <c r="L159" s="4"/>
      <c r="M159" s="4"/>
      <c r="N159" s="4"/>
      <c r="O159" s="29"/>
      <c r="P159" s="4"/>
      <c r="Q159" s="4"/>
      <c r="R159" s="4"/>
      <c r="T159" s="17"/>
      <c r="V159" s="18"/>
      <c r="W159" s="19"/>
      <c r="X159" s="17"/>
      <c r="AB159" s="23"/>
    </row>
    <row r="160">
      <c r="A160" s="4"/>
      <c r="K160" s="4"/>
      <c r="L160" s="4"/>
      <c r="M160" s="4"/>
      <c r="N160" s="4"/>
      <c r="O160" s="29"/>
      <c r="P160" s="4"/>
      <c r="Q160" s="4"/>
      <c r="R160" s="4"/>
      <c r="T160" s="17"/>
      <c r="V160" s="18"/>
      <c r="W160" s="19"/>
      <c r="X160" s="17"/>
      <c r="AB160" s="23"/>
    </row>
    <row r="161">
      <c r="A161" s="4"/>
      <c r="K161" s="4"/>
      <c r="L161" s="4"/>
      <c r="M161" s="4"/>
      <c r="N161" s="4"/>
      <c r="O161" s="29"/>
      <c r="P161" s="4"/>
      <c r="Q161" s="4"/>
      <c r="R161" s="4"/>
      <c r="T161" s="17"/>
      <c r="V161" s="18"/>
      <c r="W161" s="19"/>
      <c r="X161" s="17"/>
      <c r="AB161" s="23"/>
    </row>
    <row r="162">
      <c r="A162" s="4"/>
      <c r="K162" s="4"/>
      <c r="L162" s="4"/>
      <c r="M162" s="4"/>
      <c r="N162" s="4"/>
      <c r="O162" s="29"/>
      <c r="P162" s="4"/>
      <c r="Q162" s="4"/>
      <c r="R162" s="4"/>
      <c r="T162" s="17"/>
      <c r="V162" s="18"/>
      <c r="W162" s="19"/>
      <c r="X162" s="17"/>
      <c r="AB162" s="23"/>
    </row>
    <row r="163">
      <c r="A163" s="4"/>
      <c r="K163" s="4"/>
      <c r="L163" s="4"/>
      <c r="M163" s="4"/>
      <c r="N163" s="4"/>
      <c r="O163" s="29"/>
      <c r="P163" s="4"/>
      <c r="Q163" s="4"/>
      <c r="R163" s="4"/>
      <c r="T163" s="17"/>
      <c r="V163" s="18"/>
      <c r="W163" s="19"/>
      <c r="X163" s="17"/>
      <c r="AB163" s="23"/>
    </row>
    <row r="164">
      <c r="A164" s="4"/>
      <c r="K164" s="4"/>
      <c r="L164" s="4"/>
      <c r="M164" s="4"/>
      <c r="N164" s="4"/>
      <c r="O164" s="29"/>
      <c r="P164" s="4"/>
      <c r="Q164" s="4"/>
      <c r="R164" s="4"/>
      <c r="T164" s="17"/>
      <c r="V164" s="18"/>
      <c r="W164" s="19"/>
      <c r="X164" s="17"/>
      <c r="AB164" s="23"/>
    </row>
    <row r="165">
      <c r="A165" s="4"/>
      <c r="K165" s="4"/>
      <c r="L165" s="4"/>
      <c r="M165" s="4"/>
      <c r="N165" s="4"/>
      <c r="O165" s="29"/>
      <c r="P165" s="4"/>
      <c r="Q165" s="4"/>
      <c r="R165" s="4"/>
      <c r="T165" s="17"/>
      <c r="V165" s="18"/>
      <c r="W165" s="19"/>
      <c r="X165" s="17"/>
      <c r="AB165" s="23"/>
    </row>
    <row r="166">
      <c r="A166" s="4"/>
      <c r="K166" s="4"/>
      <c r="L166" s="4"/>
      <c r="M166" s="4"/>
      <c r="N166" s="4"/>
      <c r="O166" s="29"/>
      <c r="P166" s="4"/>
      <c r="Q166" s="4"/>
      <c r="R166" s="4"/>
      <c r="T166" s="17"/>
      <c r="V166" s="18"/>
      <c r="W166" s="19"/>
      <c r="X166" s="17"/>
      <c r="AB166" s="23"/>
    </row>
    <row r="167">
      <c r="A167" s="4"/>
      <c r="K167" s="4"/>
      <c r="L167" s="4"/>
      <c r="M167" s="4"/>
      <c r="N167" s="4"/>
      <c r="O167" s="29"/>
      <c r="P167" s="4"/>
      <c r="Q167" s="4"/>
      <c r="R167" s="4"/>
      <c r="T167" s="17"/>
      <c r="V167" s="18"/>
      <c r="W167" s="19"/>
      <c r="X167" s="17"/>
      <c r="AB167" s="23"/>
    </row>
    <row r="168">
      <c r="A168" s="4"/>
      <c r="K168" s="4"/>
      <c r="L168" s="4"/>
      <c r="M168" s="4"/>
      <c r="N168" s="4"/>
      <c r="O168" s="29"/>
      <c r="P168" s="4"/>
      <c r="Q168" s="4"/>
      <c r="R168" s="4"/>
      <c r="T168" s="17"/>
      <c r="V168" s="18"/>
      <c r="W168" s="19"/>
      <c r="X168" s="17"/>
      <c r="AB168" s="23"/>
    </row>
    <row r="169">
      <c r="A169" s="4"/>
      <c r="K169" s="4"/>
      <c r="L169" s="4"/>
      <c r="M169" s="4"/>
      <c r="N169" s="4"/>
      <c r="O169" s="29"/>
      <c r="P169" s="4"/>
      <c r="Q169" s="4"/>
      <c r="R169" s="4"/>
      <c r="T169" s="17"/>
      <c r="V169" s="18"/>
      <c r="W169" s="19"/>
      <c r="X169" s="17"/>
      <c r="AB169" s="23"/>
    </row>
    <row r="170">
      <c r="A170" s="4"/>
      <c r="K170" s="4"/>
      <c r="L170" s="4"/>
      <c r="M170" s="4"/>
      <c r="N170" s="4"/>
      <c r="O170" s="29"/>
      <c r="P170" s="4"/>
      <c r="Q170" s="4"/>
      <c r="R170" s="4"/>
      <c r="T170" s="17"/>
      <c r="V170" s="18"/>
      <c r="W170" s="19"/>
      <c r="X170" s="17"/>
      <c r="AB170" s="23"/>
    </row>
    <row r="171">
      <c r="A171" s="4"/>
      <c r="K171" s="4"/>
      <c r="L171" s="4"/>
      <c r="M171" s="4"/>
      <c r="N171" s="4"/>
      <c r="O171" s="29"/>
      <c r="P171" s="4"/>
      <c r="Q171" s="4"/>
      <c r="R171" s="4"/>
      <c r="T171" s="17"/>
      <c r="V171" s="18"/>
      <c r="W171" s="19"/>
      <c r="X171" s="17"/>
      <c r="AB171" s="23"/>
    </row>
    <row r="172">
      <c r="A172" s="4"/>
      <c r="K172" s="4"/>
      <c r="L172" s="4"/>
      <c r="M172" s="4"/>
      <c r="N172" s="4"/>
      <c r="O172" s="29"/>
      <c r="P172" s="4"/>
      <c r="Q172" s="4"/>
      <c r="R172" s="4"/>
      <c r="T172" s="17"/>
      <c r="V172" s="18"/>
      <c r="W172" s="19"/>
      <c r="X172" s="17"/>
      <c r="AB172" s="23"/>
    </row>
    <row r="173">
      <c r="A173" s="4"/>
      <c r="K173" s="4"/>
      <c r="L173" s="4"/>
      <c r="M173" s="4"/>
      <c r="N173" s="4"/>
      <c r="O173" s="29"/>
      <c r="P173" s="4"/>
      <c r="Q173" s="4"/>
      <c r="R173" s="4"/>
      <c r="T173" s="17"/>
      <c r="V173" s="18"/>
      <c r="W173" s="19"/>
      <c r="X173" s="17"/>
      <c r="AB173" s="23"/>
    </row>
    <row r="174">
      <c r="A174" s="4"/>
      <c r="K174" s="4"/>
      <c r="L174" s="4"/>
      <c r="M174" s="4"/>
      <c r="N174" s="4"/>
      <c r="O174" s="29"/>
      <c r="P174" s="4"/>
      <c r="Q174" s="4"/>
      <c r="R174" s="4"/>
      <c r="T174" s="17"/>
      <c r="V174" s="18"/>
      <c r="W174" s="19"/>
      <c r="X174" s="17"/>
      <c r="AB174" s="23"/>
    </row>
    <row r="175">
      <c r="A175" s="4"/>
      <c r="K175" s="4"/>
      <c r="L175" s="4"/>
      <c r="M175" s="4"/>
      <c r="N175" s="4"/>
      <c r="O175" s="29"/>
      <c r="P175" s="4"/>
      <c r="Q175" s="4"/>
      <c r="R175" s="4"/>
      <c r="T175" s="17"/>
      <c r="V175" s="18"/>
      <c r="W175" s="19"/>
      <c r="X175" s="17"/>
      <c r="AB175" s="23"/>
    </row>
    <row r="176">
      <c r="A176" s="4"/>
      <c r="K176" s="4"/>
      <c r="L176" s="4"/>
      <c r="M176" s="4"/>
      <c r="N176" s="4"/>
      <c r="O176" s="29"/>
      <c r="P176" s="4"/>
      <c r="Q176" s="4"/>
      <c r="R176" s="4"/>
      <c r="T176" s="17"/>
      <c r="V176" s="18"/>
      <c r="W176" s="19"/>
      <c r="X176" s="17"/>
      <c r="AB176" s="23"/>
    </row>
    <row r="177">
      <c r="A177" s="4"/>
      <c r="K177" s="4"/>
      <c r="L177" s="4"/>
      <c r="M177" s="4"/>
      <c r="N177" s="4"/>
      <c r="O177" s="29"/>
      <c r="P177" s="4"/>
      <c r="Q177" s="4"/>
      <c r="R177" s="4"/>
      <c r="T177" s="17"/>
      <c r="V177" s="18"/>
      <c r="W177" s="19"/>
      <c r="X177" s="17"/>
      <c r="AB177" s="23"/>
    </row>
    <row r="178">
      <c r="A178" s="4"/>
      <c r="K178" s="4"/>
      <c r="L178" s="4"/>
      <c r="M178" s="4"/>
      <c r="N178" s="4"/>
      <c r="O178" s="29"/>
      <c r="P178" s="4"/>
      <c r="Q178" s="4"/>
      <c r="R178" s="4"/>
      <c r="T178" s="17"/>
      <c r="V178" s="18"/>
      <c r="W178" s="19"/>
      <c r="X178" s="17"/>
      <c r="AB178" s="23"/>
    </row>
    <row r="179">
      <c r="A179" s="4"/>
      <c r="K179" s="4"/>
      <c r="L179" s="4"/>
      <c r="M179" s="4"/>
      <c r="N179" s="4"/>
      <c r="O179" s="29"/>
      <c r="P179" s="4"/>
      <c r="Q179" s="4"/>
      <c r="R179" s="4"/>
      <c r="T179" s="17"/>
      <c r="V179" s="18"/>
      <c r="W179" s="19"/>
      <c r="X179" s="17"/>
      <c r="AB179" s="23"/>
    </row>
    <row r="180">
      <c r="A180" s="4"/>
      <c r="K180" s="4"/>
      <c r="L180" s="4"/>
      <c r="M180" s="4"/>
      <c r="N180" s="4"/>
      <c r="O180" s="29"/>
      <c r="P180" s="4"/>
      <c r="Q180" s="4"/>
      <c r="R180" s="4"/>
      <c r="T180" s="17"/>
      <c r="V180" s="18"/>
      <c r="W180" s="19"/>
      <c r="X180" s="17"/>
      <c r="AB180" s="23"/>
    </row>
    <row r="181">
      <c r="A181" s="4"/>
      <c r="K181" s="4"/>
      <c r="L181" s="4"/>
      <c r="M181" s="4"/>
      <c r="N181" s="4"/>
      <c r="O181" s="29"/>
      <c r="P181" s="4"/>
      <c r="Q181" s="4"/>
      <c r="R181" s="4"/>
      <c r="T181" s="17"/>
      <c r="V181" s="18"/>
      <c r="W181" s="19"/>
      <c r="X181" s="17"/>
      <c r="AB181" s="23"/>
    </row>
    <row r="182">
      <c r="A182" s="4"/>
      <c r="K182" s="4"/>
      <c r="L182" s="4"/>
      <c r="M182" s="4"/>
      <c r="N182" s="4"/>
      <c r="O182" s="29"/>
      <c r="P182" s="4"/>
      <c r="Q182" s="4"/>
      <c r="R182" s="4"/>
      <c r="T182" s="17"/>
      <c r="V182" s="18"/>
      <c r="W182" s="19"/>
      <c r="X182" s="17"/>
      <c r="AB182" s="23"/>
    </row>
    <row r="183">
      <c r="A183" s="4"/>
      <c r="K183" s="4"/>
      <c r="L183" s="4"/>
      <c r="M183" s="4"/>
      <c r="N183" s="4"/>
      <c r="O183" s="29"/>
      <c r="P183" s="4"/>
      <c r="Q183" s="4"/>
      <c r="R183" s="4"/>
      <c r="T183" s="17"/>
      <c r="V183" s="18"/>
      <c r="W183" s="19"/>
      <c r="X183" s="17"/>
      <c r="AB183" s="23"/>
    </row>
    <row r="184">
      <c r="A184" s="4"/>
      <c r="K184" s="4"/>
      <c r="L184" s="4"/>
      <c r="M184" s="4"/>
      <c r="N184" s="4"/>
      <c r="O184" s="29"/>
      <c r="P184" s="4"/>
      <c r="Q184" s="4"/>
      <c r="R184" s="4"/>
      <c r="T184" s="17"/>
      <c r="V184" s="18"/>
      <c r="W184" s="19"/>
      <c r="X184" s="17"/>
      <c r="AB184" s="23"/>
    </row>
    <row r="185">
      <c r="A185" s="4"/>
      <c r="K185" s="4"/>
      <c r="L185" s="4"/>
      <c r="M185" s="4"/>
      <c r="N185" s="4"/>
      <c r="O185" s="29"/>
      <c r="P185" s="4"/>
      <c r="Q185" s="4"/>
      <c r="R185" s="4"/>
      <c r="T185" s="17"/>
      <c r="V185" s="18"/>
      <c r="W185" s="19"/>
      <c r="X185" s="17"/>
      <c r="AB185" s="23"/>
    </row>
    <row r="186">
      <c r="A186" s="4"/>
      <c r="K186" s="4"/>
      <c r="L186" s="4"/>
      <c r="M186" s="4"/>
      <c r="N186" s="4"/>
      <c r="O186" s="29"/>
      <c r="P186" s="4"/>
      <c r="Q186" s="4"/>
      <c r="R186" s="4"/>
      <c r="T186" s="17"/>
      <c r="V186" s="18"/>
      <c r="W186" s="19"/>
      <c r="X186" s="17"/>
      <c r="AB186" s="23"/>
    </row>
    <row r="187">
      <c r="A187" s="4"/>
      <c r="K187" s="4"/>
      <c r="L187" s="4"/>
      <c r="M187" s="4"/>
      <c r="N187" s="4"/>
      <c r="O187" s="29"/>
      <c r="P187" s="4"/>
      <c r="Q187" s="4"/>
      <c r="R187" s="4"/>
      <c r="T187" s="17"/>
      <c r="V187" s="18"/>
      <c r="W187" s="19"/>
      <c r="X187" s="17"/>
      <c r="AB187" s="23"/>
    </row>
    <row r="188">
      <c r="A188" s="4"/>
      <c r="K188" s="4"/>
      <c r="L188" s="4"/>
      <c r="M188" s="4"/>
      <c r="N188" s="4"/>
      <c r="O188" s="29"/>
      <c r="P188" s="4"/>
      <c r="Q188" s="4"/>
      <c r="R188" s="4"/>
      <c r="T188" s="17"/>
      <c r="V188" s="18"/>
      <c r="W188" s="19"/>
      <c r="X188" s="17"/>
      <c r="AB188" s="23"/>
    </row>
    <row r="189">
      <c r="A189" s="4"/>
      <c r="K189" s="4"/>
      <c r="L189" s="4"/>
      <c r="M189" s="4"/>
      <c r="N189" s="4"/>
      <c r="O189" s="29"/>
      <c r="P189" s="4"/>
      <c r="Q189" s="4"/>
      <c r="R189" s="4"/>
      <c r="T189" s="17"/>
      <c r="V189" s="18"/>
      <c r="W189" s="19"/>
      <c r="X189" s="17"/>
      <c r="AB189" s="23"/>
    </row>
    <row r="190">
      <c r="A190" s="4"/>
      <c r="K190" s="4"/>
      <c r="L190" s="4"/>
      <c r="M190" s="4"/>
      <c r="N190" s="4"/>
      <c r="O190" s="29"/>
      <c r="P190" s="4"/>
      <c r="Q190" s="4"/>
      <c r="R190" s="4"/>
      <c r="T190" s="17"/>
      <c r="V190" s="18"/>
      <c r="W190" s="19"/>
      <c r="X190" s="17"/>
      <c r="AB190" s="23"/>
    </row>
    <row r="191">
      <c r="A191" s="4"/>
      <c r="K191" s="4"/>
      <c r="L191" s="4"/>
      <c r="M191" s="4"/>
      <c r="N191" s="4"/>
      <c r="O191" s="29"/>
      <c r="P191" s="4"/>
      <c r="Q191" s="4"/>
      <c r="R191" s="4"/>
      <c r="T191" s="17"/>
      <c r="V191" s="18"/>
      <c r="W191" s="19"/>
      <c r="X191" s="17"/>
      <c r="AB191" s="23"/>
    </row>
    <row r="192">
      <c r="A192" s="4"/>
      <c r="K192" s="4"/>
      <c r="L192" s="4"/>
      <c r="M192" s="4"/>
      <c r="N192" s="4"/>
      <c r="O192" s="29"/>
      <c r="P192" s="4"/>
      <c r="Q192" s="4"/>
      <c r="R192" s="4"/>
      <c r="T192" s="17"/>
      <c r="V192" s="18"/>
      <c r="W192" s="19"/>
      <c r="X192" s="17"/>
      <c r="AB192" s="23"/>
    </row>
    <row r="193">
      <c r="A193" s="4"/>
      <c r="K193" s="4"/>
      <c r="L193" s="4"/>
      <c r="M193" s="4"/>
      <c r="N193" s="4"/>
      <c r="O193" s="29"/>
      <c r="P193" s="4"/>
      <c r="Q193" s="4"/>
      <c r="R193" s="4"/>
      <c r="T193" s="17"/>
      <c r="V193" s="18"/>
      <c r="W193" s="19"/>
      <c r="X193" s="17"/>
      <c r="AB193" s="23"/>
    </row>
    <row r="194">
      <c r="A194" s="4"/>
      <c r="K194" s="4"/>
      <c r="L194" s="4"/>
      <c r="M194" s="4"/>
      <c r="N194" s="4"/>
      <c r="O194" s="29"/>
      <c r="P194" s="4"/>
      <c r="Q194" s="4"/>
      <c r="R194" s="4"/>
      <c r="T194" s="17"/>
      <c r="V194" s="18"/>
      <c r="W194" s="19"/>
      <c r="X194" s="17"/>
      <c r="AB194" s="23"/>
    </row>
    <row r="195">
      <c r="A195" s="4"/>
      <c r="K195" s="4"/>
      <c r="L195" s="4"/>
      <c r="M195" s="4"/>
      <c r="N195" s="4"/>
      <c r="O195" s="29"/>
      <c r="P195" s="4"/>
      <c r="Q195" s="4"/>
      <c r="R195" s="4"/>
      <c r="T195" s="17"/>
      <c r="V195" s="18"/>
      <c r="W195" s="19"/>
      <c r="X195" s="17"/>
      <c r="AB195" s="23"/>
    </row>
    <row r="196">
      <c r="A196" s="4"/>
      <c r="K196" s="4"/>
      <c r="L196" s="4"/>
      <c r="M196" s="4"/>
      <c r="N196" s="4"/>
      <c r="O196" s="29"/>
      <c r="P196" s="4"/>
      <c r="Q196" s="4"/>
      <c r="R196" s="4"/>
      <c r="T196" s="17"/>
      <c r="V196" s="18"/>
      <c r="W196" s="19"/>
      <c r="X196" s="17"/>
      <c r="AB196" s="23"/>
    </row>
    <row r="197">
      <c r="A197" s="4"/>
      <c r="K197" s="4"/>
      <c r="L197" s="4"/>
      <c r="M197" s="4"/>
      <c r="N197" s="4"/>
      <c r="O197" s="29"/>
      <c r="P197" s="4"/>
      <c r="Q197" s="4"/>
      <c r="R197" s="4"/>
      <c r="T197" s="17"/>
      <c r="V197" s="18"/>
      <c r="W197" s="19"/>
      <c r="X197" s="17"/>
      <c r="AB197" s="23"/>
    </row>
    <row r="198">
      <c r="A198" s="4"/>
      <c r="K198" s="4"/>
      <c r="L198" s="4"/>
      <c r="M198" s="4"/>
      <c r="N198" s="4"/>
      <c r="O198" s="29"/>
      <c r="P198" s="4"/>
      <c r="Q198" s="4"/>
      <c r="R198" s="4"/>
      <c r="T198" s="17"/>
      <c r="V198" s="18"/>
      <c r="W198" s="19"/>
      <c r="X198" s="17"/>
      <c r="AB198" s="23"/>
    </row>
    <row r="199">
      <c r="A199" s="4"/>
      <c r="K199" s="4"/>
      <c r="L199" s="4"/>
      <c r="M199" s="4"/>
      <c r="N199" s="4"/>
      <c r="O199" s="29"/>
      <c r="P199" s="4"/>
      <c r="Q199" s="4"/>
      <c r="R199" s="4"/>
      <c r="T199" s="17"/>
      <c r="V199" s="18"/>
      <c r="W199" s="19"/>
      <c r="X199" s="17"/>
      <c r="AB199" s="23"/>
    </row>
    <row r="200">
      <c r="A200" s="4"/>
      <c r="K200" s="4"/>
      <c r="L200" s="4"/>
      <c r="M200" s="4"/>
      <c r="N200" s="4"/>
      <c r="O200" s="29"/>
      <c r="P200" s="4"/>
      <c r="Q200" s="4"/>
      <c r="R200" s="4"/>
      <c r="T200" s="17"/>
      <c r="V200" s="18"/>
      <c r="W200" s="19"/>
      <c r="X200" s="17"/>
      <c r="AB200" s="23"/>
    </row>
    <row r="201">
      <c r="A201" s="4"/>
      <c r="K201" s="4"/>
      <c r="L201" s="4"/>
      <c r="M201" s="4"/>
      <c r="N201" s="4"/>
      <c r="O201" s="29"/>
      <c r="P201" s="4"/>
      <c r="Q201" s="4"/>
      <c r="R201" s="4"/>
      <c r="T201" s="17"/>
      <c r="V201" s="18"/>
      <c r="W201" s="19"/>
      <c r="X201" s="17"/>
      <c r="AB201" s="23"/>
    </row>
    <row r="202">
      <c r="A202" s="4"/>
      <c r="K202" s="4"/>
      <c r="L202" s="4"/>
      <c r="M202" s="4"/>
      <c r="N202" s="4"/>
      <c r="O202" s="29"/>
      <c r="P202" s="4"/>
      <c r="Q202" s="4"/>
      <c r="R202" s="4"/>
      <c r="T202" s="17"/>
      <c r="V202" s="18"/>
      <c r="W202" s="19"/>
      <c r="X202" s="17"/>
      <c r="AB202" s="23"/>
    </row>
    <row r="203">
      <c r="A203" s="4"/>
      <c r="K203" s="4"/>
      <c r="L203" s="4"/>
      <c r="M203" s="4"/>
      <c r="N203" s="4"/>
      <c r="O203" s="29"/>
      <c r="P203" s="4"/>
      <c r="Q203" s="4"/>
      <c r="R203" s="4"/>
      <c r="T203" s="17"/>
      <c r="V203" s="18"/>
      <c r="W203" s="19"/>
      <c r="X203" s="17"/>
      <c r="AB203" s="23"/>
    </row>
    <row r="204">
      <c r="A204" s="4"/>
      <c r="K204" s="4"/>
      <c r="L204" s="4"/>
      <c r="M204" s="4"/>
      <c r="N204" s="4"/>
      <c r="O204" s="29"/>
      <c r="P204" s="4"/>
      <c r="Q204" s="4"/>
      <c r="R204" s="4"/>
      <c r="T204" s="17"/>
      <c r="V204" s="18"/>
      <c r="W204" s="19"/>
      <c r="X204" s="17"/>
      <c r="AB204" s="23"/>
    </row>
    <row r="205">
      <c r="A205" s="4"/>
      <c r="K205" s="4"/>
      <c r="L205" s="4"/>
      <c r="M205" s="4"/>
      <c r="N205" s="4"/>
      <c r="O205" s="29"/>
      <c r="P205" s="4"/>
      <c r="Q205" s="4"/>
      <c r="R205" s="4"/>
      <c r="T205" s="17"/>
      <c r="V205" s="18"/>
      <c r="W205" s="19"/>
      <c r="X205" s="17"/>
      <c r="AB205" s="23"/>
    </row>
    <row r="206">
      <c r="A206" s="4"/>
      <c r="K206" s="4"/>
      <c r="L206" s="4"/>
      <c r="M206" s="4"/>
      <c r="N206" s="4"/>
      <c r="O206" s="29"/>
      <c r="P206" s="4"/>
      <c r="Q206" s="4"/>
      <c r="R206" s="4"/>
      <c r="T206" s="17"/>
      <c r="V206" s="18"/>
      <c r="W206" s="19"/>
      <c r="X206" s="17"/>
      <c r="AB206" s="23"/>
    </row>
    <row r="207">
      <c r="A207" s="4"/>
      <c r="K207" s="4"/>
      <c r="L207" s="4"/>
      <c r="M207" s="4"/>
      <c r="N207" s="4"/>
      <c r="O207" s="29"/>
      <c r="P207" s="4"/>
      <c r="Q207" s="4"/>
      <c r="R207" s="4"/>
      <c r="T207" s="17"/>
      <c r="V207" s="18"/>
      <c r="W207" s="19"/>
      <c r="X207" s="17"/>
      <c r="AB207" s="23"/>
    </row>
    <row r="208">
      <c r="A208" s="4"/>
      <c r="K208" s="4"/>
      <c r="L208" s="4"/>
      <c r="M208" s="4"/>
      <c r="N208" s="4"/>
      <c r="O208" s="29"/>
      <c r="P208" s="4"/>
      <c r="Q208" s="4"/>
      <c r="R208" s="4"/>
      <c r="T208" s="17"/>
      <c r="V208" s="18"/>
      <c r="W208" s="19"/>
      <c r="X208" s="17"/>
      <c r="AB208" s="23"/>
    </row>
    <row r="209">
      <c r="A209" s="4"/>
      <c r="K209" s="4"/>
      <c r="L209" s="4"/>
      <c r="M209" s="4"/>
      <c r="N209" s="4"/>
      <c r="O209" s="29"/>
      <c r="P209" s="4"/>
      <c r="Q209" s="4"/>
      <c r="R209" s="4"/>
      <c r="T209" s="17"/>
      <c r="V209" s="18"/>
      <c r="W209" s="19"/>
      <c r="X209" s="17"/>
      <c r="AB209" s="23"/>
    </row>
    <row r="210">
      <c r="A210" s="4"/>
      <c r="K210" s="4"/>
      <c r="L210" s="4"/>
      <c r="M210" s="4"/>
      <c r="N210" s="4"/>
      <c r="O210" s="29"/>
      <c r="P210" s="4"/>
      <c r="Q210" s="4"/>
      <c r="R210" s="4"/>
      <c r="T210" s="17"/>
      <c r="V210" s="18"/>
      <c r="W210" s="19"/>
      <c r="X210" s="17"/>
      <c r="AB210" s="23"/>
    </row>
    <row r="211">
      <c r="A211" s="4"/>
      <c r="K211" s="4"/>
      <c r="L211" s="4"/>
      <c r="M211" s="4"/>
      <c r="N211" s="4"/>
      <c r="O211" s="29"/>
      <c r="P211" s="4"/>
      <c r="Q211" s="4"/>
      <c r="R211" s="4"/>
      <c r="T211" s="17"/>
      <c r="V211" s="18"/>
      <c r="W211" s="19"/>
      <c r="X211" s="17"/>
      <c r="AB211" s="23"/>
    </row>
    <row r="212">
      <c r="A212" s="4"/>
      <c r="K212" s="4"/>
      <c r="L212" s="4"/>
      <c r="M212" s="4"/>
      <c r="N212" s="4"/>
      <c r="O212" s="29"/>
      <c r="P212" s="4"/>
      <c r="Q212" s="4"/>
      <c r="R212" s="4"/>
      <c r="T212" s="17"/>
      <c r="V212" s="18"/>
      <c r="W212" s="19"/>
      <c r="X212" s="17"/>
      <c r="AB212" s="23"/>
    </row>
    <row r="213">
      <c r="A213" s="4"/>
      <c r="K213" s="4"/>
      <c r="L213" s="4"/>
      <c r="M213" s="4"/>
      <c r="N213" s="4"/>
      <c r="O213" s="29"/>
      <c r="P213" s="4"/>
      <c r="Q213" s="4"/>
      <c r="R213" s="4"/>
      <c r="T213" s="17"/>
      <c r="V213" s="18"/>
      <c r="W213" s="19"/>
      <c r="X213" s="17"/>
      <c r="AB213" s="23"/>
    </row>
    <row r="214">
      <c r="A214" s="4"/>
      <c r="K214" s="4"/>
      <c r="L214" s="4"/>
      <c r="M214" s="4"/>
      <c r="N214" s="4"/>
      <c r="O214" s="29"/>
      <c r="P214" s="4"/>
      <c r="Q214" s="4"/>
      <c r="R214" s="4"/>
      <c r="T214" s="17"/>
      <c r="V214" s="18"/>
      <c r="W214" s="19"/>
      <c r="X214" s="17"/>
      <c r="AB214" s="23"/>
    </row>
    <row r="215">
      <c r="A215" s="4"/>
      <c r="K215" s="4"/>
      <c r="L215" s="4"/>
      <c r="M215" s="4"/>
      <c r="N215" s="4"/>
      <c r="O215" s="29"/>
      <c r="P215" s="4"/>
      <c r="Q215" s="4"/>
      <c r="R215" s="4"/>
      <c r="T215" s="17"/>
      <c r="V215" s="18"/>
      <c r="W215" s="19"/>
      <c r="X215" s="17"/>
      <c r="AB215" s="23"/>
    </row>
    <row r="216">
      <c r="A216" s="4"/>
      <c r="K216" s="4"/>
      <c r="L216" s="4"/>
      <c r="M216" s="4"/>
      <c r="N216" s="4"/>
      <c r="O216" s="29"/>
      <c r="P216" s="4"/>
      <c r="Q216" s="4"/>
      <c r="R216" s="4"/>
      <c r="T216" s="17"/>
      <c r="V216" s="18"/>
      <c r="W216" s="19"/>
      <c r="X216" s="17"/>
      <c r="AB216" s="23"/>
    </row>
    <row r="217">
      <c r="A217" s="4"/>
      <c r="K217" s="4"/>
      <c r="L217" s="4"/>
      <c r="M217" s="4"/>
      <c r="N217" s="4"/>
      <c r="O217" s="29"/>
      <c r="P217" s="4"/>
      <c r="Q217" s="4"/>
      <c r="R217" s="4"/>
      <c r="T217" s="17"/>
      <c r="V217" s="18"/>
      <c r="W217" s="19"/>
      <c r="X217" s="17"/>
      <c r="AB217" s="23"/>
    </row>
    <row r="218">
      <c r="A218" s="4"/>
      <c r="K218" s="4"/>
      <c r="L218" s="4"/>
      <c r="M218" s="4"/>
      <c r="N218" s="4"/>
      <c r="O218" s="29"/>
      <c r="P218" s="4"/>
      <c r="Q218" s="4"/>
      <c r="R218" s="4"/>
      <c r="T218" s="17"/>
      <c r="V218" s="18"/>
      <c r="W218" s="19"/>
      <c r="X218" s="17"/>
      <c r="AB218" s="23"/>
    </row>
    <row r="219">
      <c r="A219" s="4"/>
      <c r="K219" s="4"/>
      <c r="L219" s="4"/>
      <c r="M219" s="4"/>
      <c r="N219" s="4"/>
      <c r="O219" s="29"/>
      <c r="P219" s="4"/>
      <c r="Q219" s="4"/>
      <c r="R219" s="4"/>
      <c r="T219" s="17"/>
      <c r="V219" s="18"/>
      <c r="W219" s="19"/>
      <c r="X219" s="17"/>
      <c r="AB219" s="23"/>
    </row>
    <row r="220">
      <c r="A220" s="4"/>
      <c r="K220" s="4"/>
      <c r="L220" s="4"/>
      <c r="M220" s="4"/>
      <c r="N220" s="4"/>
      <c r="O220" s="29"/>
      <c r="P220" s="4"/>
      <c r="Q220" s="4"/>
      <c r="R220" s="4"/>
      <c r="T220" s="17"/>
      <c r="V220" s="18"/>
      <c r="W220" s="19"/>
      <c r="X220" s="17"/>
      <c r="AB220" s="23"/>
    </row>
    <row r="221">
      <c r="A221" s="4"/>
      <c r="K221" s="4"/>
      <c r="L221" s="4"/>
      <c r="M221" s="4"/>
      <c r="N221" s="4"/>
      <c r="O221" s="29"/>
      <c r="P221" s="4"/>
      <c r="Q221" s="4"/>
      <c r="R221" s="4"/>
      <c r="T221" s="17"/>
      <c r="V221" s="18"/>
      <c r="W221" s="19"/>
      <c r="X221" s="17"/>
      <c r="AB221" s="23"/>
    </row>
    <row r="222">
      <c r="A222" s="4"/>
      <c r="K222" s="4"/>
      <c r="L222" s="4"/>
      <c r="M222" s="4"/>
      <c r="N222" s="4"/>
      <c r="O222" s="29"/>
      <c r="P222" s="4"/>
      <c r="Q222" s="4"/>
      <c r="R222" s="4"/>
      <c r="T222" s="17"/>
      <c r="V222" s="18"/>
      <c r="W222" s="19"/>
      <c r="X222" s="17"/>
      <c r="AB222" s="23"/>
    </row>
    <row r="223">
      <c r="A223" s="4"/>
      <c r="K223" s="4"/>
      <c r="L223" s="4"/>
      <c r="M223" s="4"/>
      <c r="N223" s="4"/>
      <c r="O223" s="29"/>
      <c r="P223" s="4"/>
      <c r="Q223" s="4"/>
      <c r="R223" s="4"/>
      <c r="T223" s="17"/>
      <c r="V223" s="18"/>
      <c r="W223" s="19"/>
      <c r="X223" s="17"/>
      <c r="AB223" s="23"/>
    </row>
    <row r="224">
      <c r="A224" s="4"/>
      <c r="K224" s="4"/>
      <c r="L224" s="4"/>
      <c r="M224" s="4"/>
      <c r="N224" s="4"/>
      <c r="O224" s="29"/>
      <c r="P224" s="4"/>
      <c r="Q224" s="4"/>
      <c r="R224" s="4"/>
      <c r="T224" s="17"/>
      <c r="V224" s="18"/>
      <c r="W224" s="19"/>
      <c r="X224" s="17"/>
      <c r="AB224" s="23"/>
    </row>
    <row r="225">
      <c r="A225" s="4"/>
      <c r="K225" s="4"/>
      <c r="L225" s="4"/>
      <c r="M225" s="4"/>
      <c r="N225" s="4"/>
      <c r="O225" s="29"/>
      <c r="P225" s="4"/>
      <c r="Q225" s="4"/>
      <c r="R225" s="4"/>
      <c r="T225" s="17"/>
      <c r="V225" s="18"/>
      <c r="W225" s="19"/>
      <c r="X225" s="17"/>
      <c r="AB225" s="23"/>
    </row>
    <row r="226">
      <c r="A226" s="4"/>
      <c r="K226" s="4"/>
      <c r="L226" s="4"/>
      <c r="M226" s="4"/>
      <c r="N226" s="4"/>
      <c r="O226" s="29"/>
      <c r="P226" s="4"/>
      <c r="Q226" s="4"/>
      <c r="R226" s="4"/>
      <c r="T226" s="17"/>
      <c r="V226" s="18"/>
      <c r="W226" s="19"/>
      <c r="X226" s="17"/>
      <c r="AB226" s="23"/>
    </row>
    <row r="227">
      <c r="A227" s="4"/>
      <c r="K227" s="4"/>
      <c r="L227" s="4"/>
      <c r="M227" s="4"/>
      <c r="N227" s="4"/>
      <c r="O227" s="29"/>
      <c r="P227" s="4"/>
      <c r="Q227" s="4"/>
      <c r="R227" s="4"/>
      <c r="T227" s="17"/>
      <c r="V227" s="18"/>
      <c r="W227" s="19"/>
      <c r="X227" s="17"/>
      <c r="AB227" s="23"/>
    </row>
    <row r="228">
      <c r="A228" s="4"/>
      <c r="K228" s="4"/>
      <c r="L228" s="4"/>
      <c r="M228" s="4"/>
      <c r="N228" s="4"/>
      <c r="O228" s="29"/>
      <c r="P228" s="4"/>
      <c r="Q228" s="4"/>
      <c r="R228" s="4"/>
      <c r="T228" s="17"/>
      <c r="V228" s="18"/>
      <c r="W228" s="19"/>
      <c r="X228" s="17"/>
      <c r="AB228" s="23"/>
    </row>
    <row r="229">
      <c r="A229" s="4"/>
      <c r="K229" s="4"/>
      <c r="L229" s="4"/>
      <c r="M229" s="4"/>
      <c r="N229" s="4"/>
      <c r="O229" s="29"/>
      <c r="P229" s="4"/>
      <c r="Q229" s="4"/>
      <c r="R229" s="4"/>
      <c r="T229" s="17"/>
      <c r="V229" s="18"/>
      <c r="W229" s="19"/>
      <c r="X229" s="17"/>
      <c r="AB229" s="23"/>
    </row>
    <row r="230">
      <c r="A230" s="4"/>
      <c r="K230" s="4"/>
      <c r="L230" s="4"/>
      <c r="M230" s="4"/>
      <c r="N230" s="4"/>
      <c r="O230" s="29"/>
      <c r="P230" s="4"/>
      <c r="Q230" s="4"/>
      <c r="R230" s="4"/>
      <c r="T230" s="17"/>
      <c r="V230" s="18"/>
      <c r="W230" s="19"/>
      <c r="X230" s="17"/>
      <c r="AB230" s="23"/>
    </row>
    <row r="231">
      <c r="A231" s="4"/>
      <c r="K231" s="4"/>
      <c r="L231" s="4"/>
      <c r="M231" s="4"/>
      <c r="N231" s="4"/>
      <c r="O231" s="29"/>
      <c r="P231" s="4"/>
      <c r="Q231" s="4"/>
      <c r="R231" s="4"/>
      <c r="T231" s="17"/>
      <c r="V231" s="18"/>
      <c r="W231" s="19"/>
      <c r="X231" s="17"/>
      <c r="AB231" s="23"/>
    </row>
    <row r="232">
      <c r="A232" s="4"/>
      <c r="K232" s="4"/>
      <c r="L232" s="4"/>
      <c r="M232" s="4"/>
      <c r="N232" s="4"/>
      <c r="O232" s="29"/>
      <c r="P232" s="4"/>
      <c r="Q232" s="4"/>
      <c r="R232" s="4"/>
      <c r="T232" s="17"/>
      <c r="V232" s="18"/>
      <c r="W232" s="19"/>
      <c r="X232" s="17"/>
      <c r="AB232" s="23"/>
    </row>
    <row r="233">
      <c r="A233" s="4"/>
      <c r="K233" s="4"/>
      <c r="L233" s="4"/>
      <c r="M233" s="4"/>
      <c r="N233" s="4"/>
      <c r="O233" s="29"/>
      <c r="P233" s="4"/>
      <c r="Q233" s="4"/>
      <c r="R233" s="4"/>
      <c r="T233" s="17"/>
      <c r="V233" s="18"/>
      <c r="W233" s="19"/>
      <c r="X233" s="17"/>
      <c r="AB233" s="23"/>
    </row>
    <row r="234">
      <c r="A234" s="4"/>
      <c r="K234" s="4"/>
      <c r="L234" s="4"/>
      <c r="M234" s="4"/>
      <c r="N234" s="4"/>
      <c r="O234" s="29"/>
      <c r="P234" s="4"/>
      <c r="Q234" s="4"/>
      <c r="R234" s="4"/>
      <c r="T234" s="17"/>
      <c r="V234" s="18"/>
      <c r="W234" s="19"/>
      <c r="X234" s="17"/>
      <c r="AB234" s="23"/>
    </row>
    <row r="235">
      <c r="A235" s="4"/>
      <c r="K235" s="4"/>
      <c r="L235" s="4"/>
      <c r="M235" s="4"/>
      <c r="N235" s="4"/>
      <c r="O235" s="29"/>
      <c r="P235" s="4"/>
      <c r="Q235" s="4"/>
      <c r="R235" s="4"/>
      <c r="T235" s="17"/>
      <c r="V235" s="18"/>
      <c r="W235" s="19"/>
      <c r="X235" s="17"/>
      <c r="AB235" s="23"/>
    </row>
    <row r="236">
      <c r="A236" s="4"/>
      <c r="K236" s="4"/>
      <c r="L236" s="4"/>
      <c r="M236" s="4"/>
      <c r="N236" s="4"/>
      <c r="O236" s="29"/>
      <c r="P236" s="4"/>
      <c r="Q236" s="4"/>
      <c r="R236" s="4"/>
      <c r="T236" s="17"/>
      <c r="V236" s="18"/>
      <c r="W236" s="19"/>
      <c r="X236" s="17"/>
      <c r="AB236" s="23"/>
    </row>
    <row r="237">
      <c r="A237" s="4"/>
      <c r="K237" s="4"/>
      <c r="L237" s="4"/>
      <c r="M237" s="4"/>
      <c r="N237" s="4"/>
      <c r="O237" s="29"/>
      <c r="P237" s="4"/>
      <c r="Q237" s="4"/>
      <c r="R237" s="4"/>
      <c r="T237" s="17"/>
      <c r="V237" s="18"/>
      <c r="W237" s="19"/>
      <c r="X237" s="17"/>
      <c r="AB237" s="23"/>
    </row>
    <row r="238">
      <c r="A238" s="4"/>
      <c r="K238" s="4"/>
      <c r="L238" s="4"/>
      <c r="M238" s="4"/>
      <c r="N238" s="4"/>
      <c r="O238" s="29"/>
      <c r="P238" s="4"/>
      <c r="Q238" s="4"/>
      <c r="R238" s="4"/>
      <c r="T238" s="17"/>
      <c r="V238" s="18"/>
      <c r="W238" s="19"/>
      <c r="X238" s="17"/>
      <c r="AB238" s="23"/>
    </row>
    <row r="239">
      <c r="A239" s="4"/>
      <c r="K239" s="4"/>
      <c r="L239" s="4"/>
      <c r="M239" s="4"/>
      <c r="N239" s="4"/>
      <c r="O239" s="29"/>
      <c r="P239" s="4"/>
      <c r="Q239" s="4"/>
      <c r="R239" s="4"/>
      <c r="T239" s="17"/>
      <c r="V239" s="18"/>
      <c r="W239" s="19"/>
      <c r="X239" s="17"/>
      <c r="AB239" s="23"/>
    </row>
    <row r="240">
      <c r="A240" s="4"/>
      <c r="K240" s="4"/>
      <c r="L240" s="4"/>
      <c r="M240" s="4"/>
      <c r="N240" s="4"/>
      <c r="O240" s="29"/>
      <c r="P240" s="4"/>
      <c r="Q240" s="4"/>
      <c r="R240" s="4"/>
      <c r="T240" s="17"/>
      <c r="V240" s="18"/>
      <c r="W240" s="19"/>
      <c r="X240" s="17"/>
      <c r="AB240" s="23"/>
    </row>
    <row r="241">
      <c r="A241" s="4"/>
      <c r="K241" s="4"/>
      <c r="L241" s="4"/>
      <c r="M241" s="4"/>
      <c r="N241" s="4"/>
      <c r="O241" s="29"/>
      <c r="P241" s="4"/>
      <c r="Q241" s="4"/>
      <c r="R241" s="4"/>
      <c r="T241" s="17"/>
      <c r="V241" s="18"/>
      <c r="W241" s="19"/>
      <c r="X241" s="17"/>
      <c r="AB241" s="23"/>
    </row>
    <row r="242">
      <c r="A242" s="4"/>
      <c r="K242" s="4"/>
      <c r="L242" s="4"/>
      <c r="M242" s="4"/>
      <c r="N242" s="4"/>
      <c r="O242" s="29"/>
      <c r="P242" s="4"/>
      <c r="Q242" s="4"/>
      <c r="R242" s="4"/>
      <c r="T242" s="17"/>
      <c r="V242" s="18"/>
      <c r="W242" s="19"/>
      <c r="X242" s="17"/>
      <c r="AB242" s="23"/>
    </row>
    <row r="243">
      <c r="A243" s="4"/>
      <c r="K243" s="4"/>
      <c r="L243" s="4"/>
      <c r="M243" s="4"/>
      <c r="N243" s="4"/>
      <c r="O243" s="29"/>
      <c r="P243" s="4"/>
      <c r="Q243" s="4"/>
      <c r="R243" s="4"/>
      <c r="T243" s="17"/>
      <c r="V243" s="18"/>
      <c r="W243" s="19"/>
      <c r="X243" s="17"/>
      <c r="AB243" s="23"/>
    </row>
    <row r="244">
      <c r="A244" s="4"/>
      <c r="K244" s="4"/>
      <c r="L244" s="4"/>
      <c r="M244" s="4"/>
      <c r="N244" s="4"/>
      <c r="O244" s="29"/>
      <c r="P244" s="4"/>
      <c r="Q244" s="4"/>
      <c r="R244" s="4"/>
      <c r="T244" s="17"/>
      <c r="V244" s="18"/>
      <c r="W244" s="19"/>
      <c r="X244" s="17"/>
      <c r="AB244" s="23"/>
    </row>
    <row r="245">
      <c r="A245" s="4"/>
      <c r="K245" s="4"/>
      <c r="L245" s="4"/>
      <c r="M245" s="4"/>
      <c r="N245" s="4"/>
      <c r="O245" s="29"/>
      <c r="P245" s="4"/>
      <c r="Q245" s="4"/>
      <c r="R245" s="4"/>
      <c r="T245" s="17"/>
      <c r="V245" s="18"/>
      <c r="W245" s="19"/>
      <c r="X245" s="17"/>
      <c r="AB245" s="23"/>
    </row>
    <row r="246">
      <c r="A246" s="4"/>
      <c r="K246" s="4"/>
      <c r="L246" s="4"/>
      <c r="M246" s="4"/>
      <c r="N246" s="4"/>
      <c r="O246" s="29"/>
      <c r="P246" s="4"/>
      <c r="Q246" s="4"/>
      <c r="R246" s="4"/>
      <c r="T246" s="17"/>
      <c r="V246" s="18"/>
      <c r="W246" s="19"/>
      <c r="X246" s="17"/>
      <c r="AB246" s="23"/>
    </row>
    <row r="247">
      <c r="A247" s="4"/>
      <c r="K247" s="4"/>
      <c r="L247" s="4"/>
      <c r="M247" s="4"/>
      <c r="N247" s="4"/>
      <c r="O247" s="29"/>
      <c r="P247" s="4"/>
      <c r="Q247" s="4"/>
      <c r="R247" s="4"/>
      <c r="T247" s="17"/>
      <c r="V247" s="18"/>
      <c r="W247" s="19"/>
      <c r="X247" s="17"/>
      <c r="AB247" s="23"/>
    </row>
    <row r="248">
      <c r="A248" s="4"/>
      <c r="K248" s="4"/>
      <c r="L248" s="4"/>
      <c r="M248" s="4"/>
      <c r="N248" s="4"/>
      <c r="O248" s="29"/>
      <c r="P248" s="4"/>
      <c r="Q248" s="4"/>
      <c r="R248" s="4"/>
      <c r="T248" s="17"/>
      <c r="V248" s="18"/>
      <c r="W248" s="19"/>
      <c r="X248" s="17"/>
      <c r="AB248" s="23"/>
    </row>
    <row r="249">
      <c r="A249" s="4"/>
      <c r="K249" s="4"/>
      <c r="L249" s="4"/>
      <c r="M249" s="4"/>
      <c r="N249" s="4"/>
      <c r="O249" s="29"/>
      <c r="P249" s="4"/>
      <c r="Q249" s="4"/>
      <c r="R249" s="4"/>
      <c r="T249" s="17"/>
      <c r="V249" s="18"/>
      <c r="W249" s="19"/>
      <c r="X249" s="17"/>
      <c r="AB249" s="23"/>
    </row>
    <row r="250">
      <c r="A250" s="4"/>
      <c r="K250" s="4"/>
      <c r="L250" s="4"/>
      <c r="M250" s="4"/>
      <c r="N250" s="4"/>
      <c r="O250" s="29"/>
      <c r="P250" s="4"/>
      <c r="Q250" s="4"/>
      <c r="R250" s="4"/>
      <c r="T250" s="17"/>
      <c r="V250" s="18"/>
      <c r="W250" s="19"/>
      <c r="X250" s="17"/>
      <c r="AB250" s="23"/>
    </row>
    <row r="251">
      <c r="A251" s="4"/>
      <c r="K251" s="4"/>
      <c r="L251" s="4"/>
      <c r="M251" s="4"/>
      <c r="N251" s="4"/>
      <c r="O251" s="29"/>
      <c r="P251" s="4"/>
      <c r="Q251" s="4"/>
      <c r="R251" s="4"/>
      <c r="T251" s="17"/>
      <c r="V251" s="18"/>
      <c r="W251" s="19"/>
      <c r="X251" s="17"/>
      <c r="AB251" s="23"/>
    </row>
    <row r="252">
      <c r="A252" s="4"/>
      <c r="K252" s="4"/>
      <c r="L252" s="4"/>
      <c r="M252" s="4"/>
      <c r="N252" s="4"/>
      <c r="O252" s="29"/>
      <c r="P252" s="4"/>
      <c r="Q252" s="4"/>
      <c r="R252" s="4"/>
      <c r="T252" s="17"/>
      <c r="V252" s="18"/>
      <c r="W252" s="19"/>
      <c r="X252" s="17"/>
      <c r="AB252" s="23"/>
    </row>
    <row r="253">
      <c r="A253" s="4"/>
      <c r="K253" s="4"/>
      <c r="L253" s="4"/>
      <c r="M253" s="4"/>
      <c r="N253" s="4"/>
      <c r="O253" s="29"/>
      <c r="P253" s="4"/>
      <c r="Q253" s="4"/>
      <c r="R253" s="4"/>
      <c r="T253" s="17"/>
      <c r="V253" s="18"/>
      <c r="W253" s="19"/>
      <c r="X253" s="17"/>
      <c r="AB253" s="23"/>
    </row>
    <row r="254">
      <c r="A254" s="4"/>
      <c r="K254" s="4"/>
      <c r="L254" s="4"/>
      <c r="M254" s="4"/>
      <c r="N254" s="4"/>
      <c r="O254" s="29"/>
      <c r="P254" s="4"/>
      <c r="Q254" s="4"/>
      <c r="R254" s="4"/>
      <c r="T254" s="17"/>
      <c r="V254" s="18"/>
      <c r="W254" s="19"/>
      <c r="X254" s="17"/>
      <c r="AB254" s="23"/>
    </row>
    <row r="255">
      <c r="A255" s="4"/>
      <c r="K255" s="4"/>
      <c r="L255" s="4"/>
      <c r="M255" s="4"/>
      <c r="N255" s="4"/>
      <c r="O255" s="29"/>
      <c r="P255" s="4"/>
      <c r="Q255" s="4"/>
      <c r="R255" s="4"/>
      <c r="T255" s="17"/>
      <c r="V255" s="18"/>
      <c r="W255" s="19"/>
      <c r="X255" s="17"/>
      <c r="AB255" s="23"/>
    </row>
    <row r="256">
      <c r="A256" s="4"/>
      <c r="K256" s="4"/>
      <c r="L256" s="4"/>
      <c r="M256" s="4"/>
      <c r="N256" s="4"/>
      <c r="O256" s="29"/>
      <c r="P256" s="4"/>
      <c r="Q256" s="4"/>
      <c r="R256" s="4"/>
      <c r="T256" s="17"/>
      <c r="V256" s="18"/>
      <c r="W256" s="19"/>
      <c r="X256" s="17"/>
      <c r="AB256" s="23"/>
    </row>
    <row r="257">
      <c r="A257" s="4"/>
      <c r="K257" s="4"/>
      <c r="L257" s="4"/>
      <c r="M257" s="4"/>
      <c r="N257" s="4"/>
      <c r="O257" s="29"/>
      <c r="P257" s="4"/>
      <c r="Q257" s="4"/>
      <c r="R257" s="4"/>
      <c r="T257" s="17"/>
      <c r="V257" s="18"/>
      <c r="W257" s="19"/>
      <c r="X257" s="17"/>
      <c r="AB257" s="23"/>
    </row>
    <row r="258">
      <c r="A258" s="4"/>
      <c r="K258" s="4"/>
      <c r="L258" s="4"/>
      <c r="M258" s="4"/>
      <c r="N258" s="4"/>
      <c r="O258" s="29"/>
      <c r="P258" s="4"/>
      <c r="Q258" s="4"/>
      <c r="R258" s="4"/>
      <c r="T258" s="17"/>
      <c r="V258" s="18"/>
      <c r="W258" s="19"/>
      <c r="X258" s="17"/>
      <c r="AB258" s="23"/>
    </row>
    <row r="259">
      <c r="A259" s="4"/>
      <c r="K259" s="4"/>
      <c r="L259" s="4"/>
      <c r="M259" s="4"/>
      <c r="N259" s="4"/>
      <c r="O259" s="29"/>
      <c r="P259" s="4"/>
      <c r="Q259" s="4"/>
      <c r="R259" s="4"/>
      <c r="T259" s="17"/>
      <c r="V259" s="18"/>
      <c r="W259" s="19"/>
      <c r="X259" s="17"/>
      <c r="AB259" s="23"/>
    </row>
    <row r="260">
      <c r="A260" s="4"/>
      <c r="K260" s="4"/>
      <c r="L260" s="4"/>
      <c r="M260" s="4"/>
      <c r="N260" s="4"/>
      <c r="O260" s="29"/>
      <c r="P260" s="4"/>
      <c r="Q260" s="4"/>
      <c r="R260" s="4"/>
      <c r="T260" s="17"/>
      <c r="V260" s="18"/>
      <c r="W260" s="19"/>
      <c r="X260" s="17"/>
      <c r="AB260" s="23"/>
    </row>
    <row r="261">
      <c r="A261" s="4"/>
      <c r="K261" s="4"/>
      <c r="L261" s="4"/>
      <c r="M261" s="4"/>
      <c r="N261" s="4"/>
      <c r="O261" s="29"/>
      <c r="P261" s="4"/>
      <c r="Q261" s="4"/>
      <c r="R261" s="4"/>
      <c r="T261" s="17"/>
      <c r="V261" s="18"/>
      <c r="W261" s="19"/>
      <c r="X261" s="17"/>
      <c r="AB261" s="23"/>
    </row>
    <row r="262">
      <c r="A262" s="4"/>
      <c r="K262" s="4"/>
      <c r="L262" s="4"/>
      <c r="M262" s="4"/>
      <c r="N262" s="4"/>
      <c r="O262" s="29"/>
      <c r="P262" s="4"/>
      <c r="Q262" s="4"/>
      <c r="R262" s="4"/>
      <c r="T262" s="17"/>
      <c r="V262" s="18"/>
      <c r="W262" s="19"/>
      <c r="X262" s="17"/>
      <c r="AB262" s="23"/>
    </row>
    <row r="263">
      <c r="A263" s="4"/>
      <c r="K263" s="4"/>
      <c r="L263" s="4"/>
      <c r="M263" s="4"/>
      <c r="N263" s="4"/>
      <c r="O263" s="29"/>
      <c r="P263" s="4"/>
      <c r="Q263" s="4"/>
      <c r="R263" s="4"/>
      <c r="T263" s="17"/>
      <c r="V263" s="18"/>
      <c r="W263" s="19"/>
      <c r="X263" s="17"/>
      <c r="AB263" s="23"/>
    </row>
    <row r="264">
      <c r="A264" s="4"/>
      <c r="K264" s="4"/>
      <c r="L264" s="4"/>
      <c r="M264" s="4"/>
      <c r="N264" s="4"/>
      <c r="O264" s="29"/>
      <c r="P264" s="4"/>
      <c r="Q264" s="4"/>
      <c r="R264" s="4"/>
      <c r="T264" s="17"/>
      <c r="V264" s="18"/>
      <c r="W264" s="19"/>
      <c r="X264" s="17"/>
      <c r="AB264" s="23"/>
    </row>
    <row r="265">
      <c r="A265" s="4"/>
      <c r="K265" s="4"/>
      <c r="L265" s="4"/>
      <c r="M265" s="4"/>
      <c r="N265" s="4"/>
      <c r="O265" s="29"/>
      <c r="P265" s="4"/>
      <c r="Q265" s="4"/>
      <c r="R265" s="4"/>
      <c r="T265" s="17"/>
      <c r="V265" s="18"/>
      <c r="W265" s="19"/>
      <c r="X265" s="17"/>
      <c r="AB265" s="23"/>
    </row>
    <row r="266">
      <c r="A266" s="4"/>
      <c r="K266" s="4"/>
      <c r="L266" s="4"/>
      <c r="M266" s="4"/>
      <c r="N266" s="4"/>
      <c r="O266" s="29"/>
      <c r="P266" s="4"/>
      <c r="Q266" s="4"/>
      <c r="R266" s="4"/>
      <c r="T266" s="17"/>
      <c r="V266" s="18"/>
      <c r="W266" s="19"/>
      <c r="X266" s="17"/>
      <c r="AB266" s="23"/>
    </row>
    <row r="267">
      <c r="A267" s="4"/>
      <c r="K267" s="4"/>
      <c r="L267" s="4"/>
      <c r="M267" s="4"/>
      <c r="N267" s="4"/>
      <c r="O267" s="29"/>
      <c r="P267" s="4"/>
      <c r="Q267" s="4"/>
      <c r="R267" s="4"/>
      <c r="T267" s="17"/>
      <c r="V267" s="18"/>
      <c r="W267" s="19"/>
      <c r="X267" s="17"/>
      <c r="AB267" s="23"/>
    </row>
    <row r="268">
      <c r="A268" s="4"/>
      <c r="K268" s="4"/>
      <c r="L268" s="4"/>
      <c r="M268" s="4"/>
      <c r="N268" s="4"/>
      <c r="O268" s="29"/>
      <c r="P268" s="4"/>
      <c r="Q268" s="4"/>
      <c r="R268" s="4"/>
      <c r="T268" s="17"/>
      <c r="V268" s="18"/>
      <c r="W268" s="19"/>
      <c r="X268" s="17"/>
      <c r="AB268" s="23"/>
    </row>
    <row r="269">
      <c r="A269" s="4"/>
      <c r="K269" s="4"/>
      <c r="L269" s="4"/>
      <c r="M269" s="4"/>
      <c r="N269" s="4"/>
      <c r="O269" s="29"/>
      <c r="P269" s="4"/>
      <c r="Q269" s="4"/>
      <c r="R269" s="4"/>
      <c r="T269" s="17"/>
      <c r="V269" s="18"/>
      <c r="W269" s="19"/>
      <c r="X269" s="17"/>
      <c r="AB269" s="23"/>
    </row>
    <row r="270">
      <c r="A270" s="4"/>
      <c r="K270" s="4"/>
      <c r="L270" s="4"/>
      <c r="M270" s="4"/>
      <c r="N270" s="4"/>
      <c r="O270" s="29"/>
      <c r="P270" s="4"/>
      <c r="Q270" s="4"/>
      <c r="R270" s="4"/>
      <c r="T270" s="17"/>
      <c r="V270" s="18"/>
      <c r="W270" s="19"/>
      <c r="X270" s="17"/>
      <c r="AB270" s="23"/>
    </row>
    <row r="271">
      <c r="A271" s="4"/>
      <c r="K271" s="4"/>
      <c r="L271" s="4"/>
      <c r="M271" s="4"/>
      <c r="N271" s="4"/>
      <c r="O271" s="29"/>
      <c r="P271" s="4"/>
      <c r="Q271" s="4"/>
      <c r="R271" s="4"/>
      <c r="T271" s="17"/>
      <c r="V271" s="18"/>
      <c r="W271" s="19"/>
      <c r="X271" s="17"/>
      <c r="AB271" s="23"/>
    </row>
    <row r="272">
      <c r="A272" s="4"/>
      <c r="K272" s="4"/>
      <c r="L272" s="4"/>
      <c r="M272" s="4"/>
      <c r="N272" s="4"/>
      <c r="O272" s="29"/>
      <c r="P272" s="4"/>
      <c r="Q272" s="4"/>
      <c r="R272" s="4"/>
      <c r="T272" s="17"/>
      <c r="V272" s="18"/>
      <c r="W272" s="19"/>
      <c r="X272" s="17"/>
      <c r="AB272" s="23"/>
    </row>
    <row r="273">
      <c r="A273" s="4"/>
      <c r="K273" s="4"/>
      <c r="L273" s="4"/>
      <c r="M273" s="4"/>
      <c r="N273" s="4"/>
      <c r="O273" s="29"/>
      <c r="P273" s="4"/>
      <c r="Q273" s="4"/>
      <c r="R273" s="4"/>
      <c r="T273" s="17"/>
      <c r="V273" s="18"/>
      <c r="W273" s="19"/>
      <c r="X273" s="17"/>
      <c r="AB273" s="23"/>
    </row>
    <row r="274">
      <c r="A274" s="4"/>
      <c r="K274" s="4"/>
      <c r="L274" s="4"/>
      <c r="M274" s="4"/>
      <c r="N274" s="4"/>
      <c r="O274" s="29"/>
      <c r="P274" s="4"/>
      <c r="Q274" s="4"/>
      <c r="R274" s="4"/>
      <c r="T274" s="17"/>
      <c r="V274" s="18"/>
      <c r="W274" s="19"/>
      <c r="X274" s="17"/>
      <c r="AB274" s="23"/>
    </row>
    <row r="275">
      <c r="A275" s="4"/>
      <c r="K275" s="4"/>
      <c r="L275" s="4"/>
      <c r="M275" s="4"/>
      <c r="N275" s="4"/>
      <c r="O275" s="29"/>
      <c r="P275" s="4"/>
      <c r="Q275" s="4"/>
      <c r="R275" s="4"/>
      <c r="T275" s="17"/>
      <c r="V275" s="18"/>
      <c r="W275" s="19"/>
      <c r="X275" s="17"/>
      <c r="AB275" s="23"/>
    </row>
    <row r="276">
      <c r="A276" s="4"/>
      <c r="K276" s="4"/>
      <c r="L276" s="4"/>
      <c r="M276" s="4"/>
      <c r="N276" s="4"/>
      <c r="O276" s="29"/>
      <c r="P276" s="4"/>
      <c r="Q276" s="4"/>
      <c r="R276" s="4"/>
      <c r="T276" s="17"/>
      <c r="V276" s="18"/>
      <c r="W276" s="19"/>
      <c r="X276" s="17"/>
      <c r="AB276" s="23"/>
    </row>
    <row r="277">
      <c r="A277" s="4"/>
      <c r="K277" s="4"/>
      <c r="L277" s="4"/>
      <c r="M277" s="4"/>
      <c r="N277" s="4"/>
      <c r="O277" s="29"/>
      <c r="P277" s="4"/>
      <c r="Q277" s="4"/>
      <c r="R277" s="4"/>
      <c r="T277" s="17"/>
      <c r="V277" s="18"/>
      <c r="W277" s="19"/>
      <c r="X277" s="17"/>
      <c r="AB277" s="23"/>
    </row>
    <row r="278">
      <c r="A278" s="4"/>
      <c r="K278" s="4"/>
      <c r="L278" s="4"/>
      <c r="M278" s="4"/>
      <c r="N278" s="4"/>
      <c r="O278" s="29"/>
      <c r="P278" s="4"/>
      <c r="Q278" s="4"/>
      <c r="R278" s="4"/>
      <c r="T278" s="17"/>
      <c r="V278" s="18"/>
      <c r="W278" s="19"/>
      <c r="X278" s="17"/>
      <c r="AB278" s="23"/>
    </row>
    <row r="279">
      <c r="A279" s="4"/>
      <c r="K279" s="4"/>
      <c r="L279" s="4"/>
      <c r="M279" s="4"/>
      <c r="N279" s="4"/>
      <c r="O279" s="29"/>
      <c r="P279" s="4"/>
      <c r="Q279" s="4"/>
      <c r="R279" s="4"/>
      <c r="T279" s="17"/>
      <c r="V279" s="18"/>
      <c r="W279" s="19"/>
      <c r="X279" s="17"/>
      <c r="AB279" s="23"/>
    </row>
    <row r="280">
      <c r="A280" s="4"/>
      <c r="K280" s="4"/>
      <c r="L280" s="4"/>
      <c r="M280" s="4"/>
      <c r="N280" s="4"/>
      <c r="O280" s="29"/>
      <c r="P280" s="4"/>
      <c r="Q280" s="4"/>
      <c r="R280" s="4"/>
      <c r="T280" s="17"/>
      <c r="V280" s="18"/>
      <c r="W280" s="19"/>
      <c r="X280" s="17"/>
      <c r="AB280" s="23"/>
    </row>
    <row r="281">
      <c r="A281" s="4"/>
      <c r="K281" s="4"/>
      <c r="L281" s="4"/>
      <c r="M281" s="4"/>
      <c r="N281" s="4"/>
      <c r="O281" s="29"/>
      <c r="P281" s="4"/>
      <c r="Q281" s="4"/>
      <c r="R281" s="4"/>
      <c r="T281" s="17"/>
      <c r="V281" s="18"/>
      <c r="W281" s="19"/>
      <c r="X281" s="17"/>
      <c r="AB281" s="23"/>
    </row>
    <row r="282">
      <c r="A282" s="4"/>
      <c r="K282" s="4"/>
      <c r="L282" s="4"/>
      <c r="M282" s="4"/>
      <c r="N282" s="4"/>
      <c r="O282" s="29"/>
      <c r="P282" s="4"/>
      <c r="Q282" s="4"/>
      <c r="R282" s="4"/>
      <c r="T282" s="17"/>
      <c r="V282" s="18"/>
      <c r="W282" s="19"/>
      <c r="X282" s="17"/>
      <c r="AB282" s="23"/>
    </row>
    <row r="283">
      <c r="A283" s="4"/>
      <c r="K283" s="4"/>
      <c r="L283" s="4"/>
      <c r="M283" s="4"/>
      <c r="N283" s="4"/>
      <c r="O283" s="29"/>
      <c r="P283" s="4"/>
      <c r="Q283" s="4"/>
      <c r="R283" s="4"/>
      <c r="T283" s="17"/>
      <c r="V283" s="18"/>
      <c r="W283" s="19"/>
      <c r="X283" s="17"/>
      <c r="AB283" s="23"/>
    </row>
    <row r="284">
      <c r="A284" s="4"/>
      <c r="K284" s="4"/>
      <c r="L284" s="4"/>
      <c r="M284" s="4"/>
      <c r="N284" s="4"/>
      <c r="O284" s="29"/>
      <c r="P284" s="4"/>
      <c r="Q284" s="4"/>
      <c r="R284" s="4"/>
      <c r="T284" s="17"/>
      <c r="V284" s="18"/>
      <c r="W284" s="19"/>
      <c r="X284" s="17"/>
      <c r="AB284" s="23"/>
    </row>
    <row r="285">
      <c r="A285" s="4"/>
      <c r="K285" s="4"/>
      <c r="L285" s="4"/>
      <c r="M285" s="4"/>
      <c r="N285" s="4"/>
      <c r="O285" s="29"/>
      <c r="P285" s="4"/>
      <c r="Q285" s="4"/>
      <c r="R285" s="4"/>
      <c r="T285" s="17"/>
      <c r="V285" s="18"/>
      <c r="W285" s="19"/>
      <c r="X285" s="17"/>
      <c r="AB285" s="23"/>
    </row>
    <row r="286">
      <c r="A286" s="4"/>
      <c r="K286" s="4"/>
      <c r="L286" s="4"/>
      <c r="M286" s="4"/>
      <c r="N286" s="4"/>
      <c r="O286" s="29"/>
      <c r="P286" s="4"/>
      <c r="Q286" s="4"/>
      <c r="R286" s="4"/>
      <c r="T286" s="17"/>
      <c r="V286" s="18"/>
      <c r="W286" s="19"/>
      <c r="X286" s="17"/>
      <c r="AB286" s="23"/>
    </row>
    <row r="287">
      <c r="A287" s="4"/>
      <c r="K287" s="4"/>
      <c r="L287" s="4"/>
      <c r="M287" s="4"/>
      <c r="N287" s="4"/>
      <c r="O287" s="29"/>
      <c r="P287" s="4"/>
      <c r="Q287" s="4"/>
      <c r="R287" s="4"/>
      <c r="T287" s="17"/>
      <c r="V287" s="18"/>
      <c r="W287" s="19"/>
      <c r="X287" s="17"/>
      <c r="AB287" s="23"/>
    </row>
    <row r="288">
      <c r="A288" s="4"/>
      <c r="K288" s="4"/>
      <c r="L288" s="4"/>
      <c r="M288" s="4"/>
      <c r="N288" s="4"/>
      <c r="O288" s="29"/>
      <c r="P288" s="4"/>
      <c r="Q288" s="4"/>
      <c r="R288" s="4"/>
      <c r="T288" s="17"/>
      <c r="V288" s="18"/>
      <c r="W288" s="19"/>
      <c r="X288" s="17"/>
      <c r="AB288" s="23"/>
    </row>
    <row r="289">
      <c r="A289" s="4"/>
      <c r="K289" s="4"/>
      <c r="L289" s="4"/>
      <c r="M289" s="4"/>
      <c r="N289" s="4"/>
      <c r="O289" s="29"/>
      <c r="P289" s="4"/>
      <c r="Q289" s="4"/>
      <c r="R289" s="4"/>
      <c r="T289" s="17"/>
      <c r="V289" s="18"/>
      <c r="W289" s="19"/>
      <c r="X289" s="17"/>
      <c r="AB289" s="23"/>
    </row>
    <row r="290">
      <c r="A290" s="4"/>
      <c r="K290" s="4"/>
      <c r="L290" s="4"/>
      <c r="M290" s="4"/>
      <c r="N290" s="4"/>
      <c r="O290" s="29"/>
      <c r="P290" s="4"/>
      <c r="Q290" s="4"/>
      <c r="R290" s="4"/>
      <c r="T290" s="17"/>
      <c r="V290" s="18"/>
      <c r="W290" s="19"/>
      <c r="X290" s="17"/>
      <c r="AB290" s="23"/>
    </row>
    <row r="291">
      <c r="A291" s="4"/>
      <c r="K291" s="4"/>
      <c r="L291" s="4"/>
      <c r="M291" s="4"/>
      <c r="N291" s="4"/>
      <c r="O291" s="29"/>
      <c r="P291" s="4"/>
      <c r="Q291" s="4"/>
      <c r="R291" s="4"/>
      <c r="T291" s="17"/>
      <c r="V291" s="18"/>
      <c r="W291" s="19"/>
      <c r="X291" s="17"/>
      <c r="AB291" s="23"/>
    </row>
    <row r="292">
      <c r="A292" s="4"/>
      <c r="K292" s="4"/>
      <c r="L292" s="4"/>
      <c r="M292" s="4"/>
      <c r="N292" s="4"/>
      <c r="O292" s="29"/>
      <c r="P292" s="4"/>
      <c r="Q292" s="4"/>
      <c r="R292" s="4"/>
      <c r="T292" s="17"/>
      <c r="V292" s="18"/>
      <c r="W292" s="19"/>
      <c r="X292" s="17"/>
      <c r="AB292" s="23"/>
    </row>
    <row r="293">
      <c r="A293" s="4"/>
      <c r="K293" s="4"/>
      <c r="L293" s="4"/>
      <c r="M293" s="4"/>
      <c r="N293" s="4"/>
      <c r="O293" s="29"/>
      <c r="P293" s="4"/>
      <c r="Q293" s="4"/>
      <c r="R293" s="4"/>
      <c r="T293" s="17"/>
      <c r="V293" s="18"/>
      <c r="W293" s="19"/>
      <c r="X293" s="17"/>
      <c r="AB293" s="23"/>
    </row>
    <row r="294">
      <c r="A294" s="4"/>
      <c r="K294" s="4"/>
      <c r="L294" s="4"/>
      <c r="M294" s="4"/>
      <c r="N294" s="4"/>
      <c r="O294" s="29"/>
      <c r="P294" s="4"/>
      <c r="Q294" s="4"/>
      <c r="R294" s="4"/>
      <c r="T294" s="17"/>
      <c r="V294" s="18"/>
      <c r="W294" s="19"/>
      <c r="X294" s="17"/>
      <c r="AB294" s="23"/>
    </row>
    <row r="295">
      <c r="A295" s="4"/>
      <c r="K295" s="4"/>
      <c r="L295" s="4"/>
      <c r="M295" s="4"/>
      <c r="N295" s="4"/>
      <c r="O295" s="29"/>
      <c r="P295" s="4"/>
      <c r="Q295" s="4"/>
      <c r="R295" s="4"/>
      <c r="T295" s="17"/>
      <c r="V295" s="18"/>
      <c r="W295" s="19"/>
      <c r="X295" s="17"/>
      <c r="AB295" s="23"/>
    </row>
    <row r="296">
      <c r="A296" s="4"/>
      <c r="K296" s="4"/>
      <c r="L296" s="4"/>
      <c r="M296" s="4"/>
      <c r="N296" s="4"/>
      <c r="O296" s="29"/>
      <c r="P296" s="4"/>
      <c r="Q296" s="4"/>
      <c r="R296" s="4"/>
      <c r="T296" s="17"/>
      <c r="V296" s="18"/>
      <c r="W296" s="19"/>
      <c r="X296" s="17"/>
      <c r="AB296" s="23"/>
    </row>
    <row r="297">
      <c r="A297" s="4"/>
      <c r="K297" s="4"/>
      <c r="L297" s="4"/>
      <c r="M297" s="4"/>
      <c r="N297" s="4"/>
      <c r="O297" s="29"/>
      <c r="P297" s="4"/>
      <c r="Q297" s="4"/>
      <c r="R297" s="4"/>
      <c r="T297" s="17"/>
      <c r="V297" s="18"/>
      <c r="W297" s="19"/>
      <c r="X297" s="17"/>
      <c r="AB297" s="23"/>
    </row>
    <row r="298">
      <c r="A298" s="4"/>
      <c r="K298" s="4"/>
      <c r="L298" s="4"/>
      <c r="M298" s="4"/>
      <c r="N298" s="4"/>
      <c r="O298" s="29"/>
      <c r="P298" s="4"/>
      <c r="Q298" s="4"/>
      <c r="R298" s="4"/>
      <c r="T298" s="17"/>
      <c r="V298" s="18"/>
      <c r="W298" s="19"/>
      <c r="X298" s="17"/>
      <c r="AB298" s="23"/>
    </row>
    <row r="299">
      <c r="A299" s="4"/>
      <c r="K299" s="4"/>
      <c r="L299" s="4"/>
      <c r="M299" s="4"/>
      <c r="N299" s="4"/>
      <c r="O299" s="29"/>
      <c r="P299" s="4"/>
      <c r="Q299" s="4"/>
      <c r="R299" s="4"/>
      <c r="T299" s="17"/>
      <c r="V299" s="18"/>
      <c r="W299" s="19"/>
      <c r="X299" s="17"/>
      <c r="AB299" s="23"/>
    </row>
    <row r="300">
      <c r="A300" s="4"/>
      <c r="K300" s="4"/>
      <c r="L300" s="4"/>
      <c r="M300" s="4"/>
      <c r="N300" s="4"/>
      <c r="O300" s="29"/>
      <c r="P300" s="4"/>
      <c r="Q300" s="4"/>
      <c r="R300" s="4"/>
      <c r="T300" s="17"/>
      <c r="V300" s="18"/>
      <c r="W300" s="19"/>
      <c r="X300" s="17"/>
      <c r="AB300" s="23"/>
    </row>
    <row r="301">
      <c r="A301" s="4"/>
      <c r="K301" s="4"/>
      <c r="L301" s="4"/>
      <c r="M301" s="4"/>
      <c r="N301" s="4"/>
      <c r="O301" s="29"/>
      <c r="P301" s="4"/>
      <c r="Q301" s="4"/>
      <c r="R301" s="4"/>
      <c r="T301" s="17"/>
      <c r="V301" s="18"/>
      <c r="W301" s="19"/>
      <c r="X301" s="17"/>
      <c r="AB301" s="23"/>
    </row>
    <row r="302">
      <c r="A302" s="4"/>
      <c r="K302" s="4"/>
      <c r="L302" s="4"/>
      <c r="M302" s="4"/>
      <c r="N302" s="4"/>
      <c r="O302" s="29"/>
      <c r="P302" s="4"/>
      <c r="Q302" s="4"/>
      <c r="R302" s="4"/>
      <c r="T302" s="17"/>
      <c r="V302" s="18"/>
      <c r="W302" s="19"/>
      <c r="X302" s="17"/>
      <c r="AB302" s="23"/>
    </row>
    <row r="303">
      <c r="A303" s="4"/>
      <c r="K303" s="4"/>
      <c r="L303" s="4"/>
      <c r="M303" s="4"/>
      <c r="N303" s="4"/>
      <c r="O303" s="29"/>
      <c r="P303" s="4"/>
      <c r="Q303" s="4"/>
      <c r="R303" s="4"/>
      <c r="T303" s="17"/>
      <c r="V303" s="18"/>
      <c r="W303" s="19"/>
      <c r="X303" s="17"/>
      <c r="AB303" s="23"/>
    </row>
    <row r="304">
      <c r="A304" s="4"/>
      <c r="K304" s="4"/>
      <c r="L304" s="4"/>
      <c r="M304" s="4"/>
      <c r="N304" s="4"/>
      <c r="O304" s="29"/>
      <c r="P304" s="4"/>
      <c r="Q304" s="4"/>
      <c r="R304" s="4"/>
      <c r="T304" s="17"/>
      <c r="V304" s="18"/>
      <c r="W304" s="19"/>
      <c r="X304" s="17"/>
      <c r="AB304" s="23"/>
    </row>
    <row r="305">
      <c r="A305" s="4"/>
      <c r="K305" s="4"/>
      <c r="L305" s="4"/>
      <c r="M305" s="4"/>
      <c r="N305" s="4"/>
      <c r="O305" s="29"/>
      <c r="P305" s="4"/>
      <c r="Q305" s="4"/>
      <c r="R305" s="4"/>
      <c r="T305" s="17"/>
      <c r="V305" s="18"/>
      <c r="W305" s="19"/>
      <c r="X305" s="17"/>
      <c r="AB305" s="23"/>
    </row>
    <row r="306">
      <c r="A306" s="4"/>
      <c r="K306" s="4"/>
      <c r="L306" s="4"/>
      <c r="M306" s="4"/>
      <c r="N306" s="4"/>
      <c r="O306" s="29"/>
      <c r="P306" s="4"/>
      <c r="Q306" s="4"/>
      <c r="R306" s="4"/>
      <c r="T306" s="17"/>
      <c r="V306" s="18"/>
      <c r="W306" s="19"/>
      <c r="X306" s="17"/>
      <c r="AB306" s="23"/>
    </row>
    <row r="307">
      <c r="A307" s="4"/>
      <c r="K307" s="4"/>
      <c r="L307" s="4"/>
      <c r="M307" s="4"/>
      <c r="N307" s="4"/>
      <c r="O307" s="29"/>
      <c r="P307" s="4"/>
      <c r="Q307" s="4"/>
      <c r="R307" s="4"/>
      <c r="T307" s="17"/>
      <c r="V307" s="18"/>
      <c r="W307" s="19"/>
      <c r="X307" s="17"/>
      <c r="AB307" s="23"/>
    </row>
    <row r="308">
      <c r="A308" s="4"/>
      <c r="K308" s="4"/>
      <c r="L308" s="4"/>
      <c r="M308" s="4"/>
      <c r="N308" s="4"/>
      <c r="O308" s="29"/>
      <c r="P308" s="4"/>
      <c r="Q308" s="4"/>
      <c r="R308" s="4"/>
      <c r="T308" s="17"/>
      <c r="V308" s="18"/>
      <c r="W308" s="19"/>
      <c r="X308" s="17"/>
      <c r="AB308" s="23"/>
    </row>
    <row r="309">
      <c r="A309" s="4"/>
      <c r="K309" s="4"/>
      <c r="L309" s="4"/>
      <c r="M309" s="4"/>
      <c r="N309" s="4"/>
      <c r="O309" s="29"/>
      <c r="P309" s="4"/>
      <c r="Q309" s="4"/>
      <c r="R309" s="4"/>
      <c r="T309" s="17"/>
      <c r="V309" s="18"/>
      <c r="W309" s="19"/>
      <c r="X309" s="17"/>
      <c r="AB309" s="23"/>
    </row>
    <row r="310">
      <c r="A310" s="4"/>
      <c r="K310" s="4"/>
      <c r="L310" s="4"/>
      <c r="M310" s="4"/>
      <c r="N310" s="4"/>
      <c r="O310" s="29"/>
      <c r="P310" s="4"/>
      <c r="Q310" s="4"/>
      <c r="R310" s="4"/>
      <c r="T310" s="17"/>
      <c r="V310" s="18"/>
      <c r="W310" s="19"/>
      <c r="X310" s="17"/>
      <c r="AB310" s="23"/>
    </row>
    <row r="311">
      <c r="A311" s="4"/>
      <c r="K311" s="4"/>
      <c r="L311" s="4"/>
      <c r="M311" s="4"/>
      <c r="N311" s="4"/>
      <c r="O311" s="29"/>
      <c r="P311" s="4"/>
      <c r="Q311" s="4"/>
      <c r="R311" s="4"/>
      <c r="T311" s="17"/>
      <c r="V311" s="18"/>
      <c r="W311" s="19"/>
      <c r="X311" s="17"/>
      <c r="AB311" s="23"/>
    </row>
    <row r="312">
      <c r="A312" s="4"/>
      <c r="K312" s="4"/>
      <c r="L312" s="4"/>
      <c r="M312" s="4"/>
      <c r="N312" s="4"/>
      <c r="O312" s="29"/>
      <c r="P312" s="4"/>
      <c r="Q312" s="4"/>
      <c r="R312" s="4"/>
      <c r="T312" s="17"/>
      <c r="V312" s="18"/>
      <c r="W312" s="19"/>
      <c r="X312" s="17"/>
      <c r="AB312" s="23"/>
    </row>
    <row r="313">
      <c r="A313" s="4"/>
      <c r="K313" s="4"/>
      <c r="L313" s="4"/>
      <c r="M313" s="4"/>
      <c r="N313" s="4"/>
      <c r="O313" s="29"/>
      <c r="P313" s="4"/>
      <c r="Q313" s="4"/>
      <c r="R313" s="4"/>
      <c r="T313" s="17"/>
      <c r="V313" s="18"/>
      <c r="W313" s="19"/>
      <c r="X313" s="17"/>
      <c r="AB313" s="23"/>
    </row>
    <row r="314">
      <c r="A314" s="4"/>
      <c r="K314" s="4"/>
      <c r="L314" s="4"/>
      <c r="M314" s="4"/>
      <c r="N314" s="4"/>
      <c r="O314" s="29"/>
      <c r="P314" s="4"/>
      <c r="Q314" s="4"/>
      <c r="R314" s="4"/>
      <c r="T314" s="17"/>
      <c r="V314" s="18"/>
      <c r="W314" s="19"/>
      <c r="X314" s="17"/>
      <c r="AB314" s="23"/>
    </row>
    <row r="315">
      <c r="A315" s="4"/>
      <c r="K315" s="4"/>
      <c r="L315" s="4"/>
      <c r="M315" s="4"/>
      <c r="N315" s="4"/>
      <c r="O315" s="29"/>
      <c r="P315" s="4"/>
      <c r="Q315" s="4"/>
      <c r="R315" s="4"/>
      <c r="T315" s="17"/>
      <c r="V315" s="18"/>
      <c r="W315" s="19"/>
      <c r="X315" s="17"/>
      <c r="AB315" s="23"/>
    </row>
    <row r="316">
      <c r="A316" s="4"/>
      <c r="K316" s="4"/>
      <c r="L316" s="4"/>
      <c r="M316" s="4"/>
      <c r="N316" s="4"/>
      <c r="O316" s="29"/>
      <c r="P316" s="4"/>
      <c r="Q316" s="4"/>
      <c r="R316" s="4"/>
      <c r="T316" s="17"/>
      <c r="V316" s="18"/>
      <c r="W316" s="19"/>
      <c r="X316" s="17"/>
      <c r="AB316" s="23"/>
    </row>
    <row r="317">
      <c r="A317" s="4"/>
      <c r="K317" s="4"/>
      <c r="L317" s="4"/>
      <c r="M317" s="4"/>
      <c r="N317" s="4"/>
      <c r="O317" s="29"/>
      <c r="P317" s="4"/>
      <c r="Q317" s="4"/>
      <c r="R317" s="4"/>
      <c r="T317" s="17"/>
      <c r="V317" s="18"/>
      <c r="W317" s="19"/>
      <c r="X317" s="17"/>
      <c r="AB317" s="23"/>
    </row>
    <row r="318">
      <c r="A318" s="4"/>
      <c r="K318" s="4"/>
      <c r="L318" s="4"/>
      <c r="M318" s="4"/>
      <c r="N318" s="4"/>
      <c r="O318" s="29"/>
      <c r="P318" s="4"/>
      <c r="Q318" s="4"/>
      <c r="R318" s="4"/>
      <c r="T318" s="17"/>
      <c r="V318" s="18"/>
      <c r="W318" s="19"/>
      <c r="X318" s="17"/>
      <c r="AB318" s="23"/>
    </row>
    <row r="319">
      <c r="A319" s="4"/>
      <c r="K319" s="4"/>
      <c r="L319" s="4"/>
      <c r="M319" s="4"/>
      <c r="N319" s="4"/>
      <c r="O319" s="29"/>
      <c r="P319" s="4"/>
      <c r="Q319" s="4"/>
      <c r="R319" s="4"/>
      <c r="T319" s="17"/>
      <c r="V319" s="18"/>
      <c r="W319" s="19"/>
      <c r="X319" s="17"/>
      <c r="AB319" s="23"/>
    </row>
    <row r="320">
      <c r="A320" s="4"/>
      <c r="K320" s="4"/>
      <c r="L320" s="4"/>
      <c r="M320" s="4"/>
      <c r="N320" s="4"/>
      <c r="O320" s="29"/>
      <c r="P320" s="4"/>
      <c r="Q320" s="4"/>
      <c r="R320" s="4"/>
      <c r="T320" s="17"/>
      <c r="V320" s="18"/>
      <c r="W320" s="19"/>
      <c r="X320" s="17"/>
      <c r="AB320" s="23"/>
    </row>
    <row r="321">
      <c r="A321" s="4"/>
      <c r="K321" s="4"/>
      <c r="L321" s="4"/>
      <c r="M321" s="4"/>
      <c r="N321" s="4"/>
      <c r="O321" s="29"/>
      <c r="P321" s="4"/>
      <c r="Q321" s="4"/>
      <c r="R321" s="4"/>
      <c r="T321" s="17"/>
      <c r="V321" s="18"/>
      <c r="W321" s="19"/>
      <c r="X321" s="17"/>
      <c r="AB321" s="23"/>
    </row>
    <row r="322">
      <c r="A322" s="4"/>
      <c r="K322" s="4"/>
      <c r="L322" s="4"/>
      <c r="M322" s="4"/>
      <c r="N322" s="4"/>
      <c r="O322" s="29"/>
      <c r="P322" s="4"/>
      <c r="Q322" s="4"/>
      <c r="R322" s="4"/>
      <c r="T322" s="17"/>
      <c r="V322" s="18"/>
      <c r="W322" s="19"/>
      <c r="X322" s="17"/>
      <c r="AB322" s="23"/>
    </row>
    <row r="323">
      <c r="A323" s="4"/>
      <c r="K323" s="4"/>
      <c r="L323" s="4"/>
      <c r="M323" s="4"/>
      <c r="N323" s="4"/>
      <c r="O323" s="29"/>
      <c r="P323" s="4"/>
      <c r="Q323" s="4"/>
      <c r="R323" s="4"/>
      <c r="T323" s="17"/>
      <c r="V323" s="18"/>
      <c r="W323" s="19"/>
      <c r="X323" s="17"/>
      <c r="AB323" s="23"/>
    </row>
    <row r="324">
      <c r="A324" s="4"/>
      <c r="K324" s="4"/>
      <c r="L324" s="4"/>
      <c r="M324" s="4"/>
      <c r="N324" s="4"/>
      <c r="O324" s="29"/>
      <c r="P324" s="4"/>
      <c r="Q324" s="4"/>
      <c r="R324" s="4"/>
      <c r="T324" s="17"/>
      <c r="V324" s="18"/>
      <c r="W324" s="19"/>
      <c r="X324" s="17"/>
      <c r="AB324" s="23"/>
    </row>
    <row r="325">
      <c r="A325" s="4"/>
      <c r="K325" s="4"/>
      <c r="L325" s="4"/>
      <c r="M325" s="4"/>
      <c r="N325" s="4"/>
      <c r="O325" s="29"/>
      <c r="P325" s="4"/>
      <c r="Q325" s="4"/>
      <c r="R325" s="4"/>
      <c r="T325" s="17"/>
      <c r="V325" s="18"/>
      <c r="W325" s="19"/>
      <c r="X325" s="17"/>
      <c r="AB325" s="23"/>
    </row>
    <row r="326">
      <c r="A326" s="4"/>
      <c r="K326" s="4"/>
      <c r="L326" s="4"/>
      <c r="M326" s="4"/>
      <c r="N326" s="4"/>
      <c r="O326" s="29"/>
      <c r="P326" s="4"/>
      <c r="Q326" s="4"/>
      <c r="R326" s="4"/>
      <c r="T326" s="17"/>
      <c r="V326" s="18"/>
      <c r="W326" s="19"/>
      <c r="X326" s="17"/>
      <c r="AB326" s="23"/>
    </row>
    <row r="327">
      <c r="A327" s="4"/>
      <c r="K327" s="4"/>
      <c r="L327" s="4"/>
      <c r="M327" s="4"/>
      <c r="N327" s="4"/>
      <c r="O327" s="29"/>
      <c r="P327" s="4"/>
      <c r="Q327" s="4"/>
      <c r="R327" s="4"/>
      <c r="T327" s="17"/>
      <c r="V327" s="18"/>
      <c r="W327" s="19"/>
      <c r="X327" s="17"/>
      <c r="AB327" s="23"/>
    </row>
    <row r="328">
      <c r="A328" s="4"/>
      <c r="K328" s="4"/>
      <c r="L328" s="4"/>
      <c r="M328" s="4"/>
      <c r="N328" s="4"/>
      <c r="O328" s="29"/>
      <c r="P328" s="4"/>
      <c r="Q328" s="4"/>
      <c r="R328" s="4"/>
      <c r="T328" s="17"/>
      <c r="V328" s="18"/>
      <c r="W328" s="19"/>
      <c r="X328" s="17"/>
      <c r="AB328" s="23"/>
    </row>
    <row r="329">
      <c r="A329" s="4"/>
      <c r="K329" s="4"/>
      <c r="L329" s="4"/>
      <c r="M329" s="4"/>
      <c r="N329" s="4"/>
      <c r="O329" s="29"/>
      <c r="P329" s="4"/>
      <c r="Q329" s="4"/>
      <c r="R329" s="4"/>
      <c r="T329" s="17"/>
      <c r="V329" s="18"/>
      <c r="W329" s="19"/>
      <c r="X329" s="17"/>
      <c r="AB329" s="23"/>
    </row>
    <row r="330">
      <c r="A330" s="4"/>
      <c r="K330" s="4"/>
      <c r="L330" s="4"/>
      <c r="M330" s="4"/>
      <c r="N330" s="4"/>
      <c r="O330" s="29"/>
      <c r="P330" s="4"/>
      <c r="Q330" s="4"/>
      <c r="R330" s="4"/>
      <c r="T330" s="17"/>
      <c r="V330" s="18"/>
      <c r="W330" s="19"/>
      <c r="X330" s="17"/>
      <c r="AB330" s="23"/>
    </row>
    <row r="331">
      <c r="A331" s="4"/>
      <c r="K331" s="4"/>
      <c r="L331" s="4"/>
      <c r="M331" s="4"/>
      <c r="N331" s="4"/>
      <c r="O331" s="29"/>
      <c r="P331" s="4"/>
      <c r="Q331" s="4"/>
      <c r="R331" s="4"/>
      <c r="T331" s="17"/>
      <c r="V331" s="18"/>
      <c r="W331" s="19"/>
      <c r="X331" s="17"/>
      <c r="AB331" s="23"/>
    </row>
    <row r="332">
      <c r="A332" s="4"/>
      <c r="K332" s="4"/>
      <c r="L332" s="4"/>
      <c r="M332" s="4"/>
      <c r="N332" s="4"/>
      <c r="O332" s="29"/>
      <c r="P332" s="4"/>
      <c r="Q332" s="4"/>
      <c r="R332" s="4"/>
      <c r="T332" s="17"/>
      <c r="V332" s="18"/>
      <c r="W332" s="19"/>
      <c r="X332" s="17"/>
      <c r="AB332" s="23"/>
    </row>
    <row r="333">
      <c r="A333" s="4"/>
      <c r="K333" s="4"/>
      <c r="L333" s="4"/>
      <c r="M333" s="4"/>
      <c r="N333" s="4"/>
      <c r="O333" s="29"/>
      <c r="P333" s="4"/>
      <c r="Q333" s="4"/>
      <c r="R333" s="4"/>
      <c r="T333" s="17"/>
      <c r="V333" s="18"/>
      <c r="W333" s="19"/>
      <c r="X333" s="17"/>
      <c r="AB333" s="23"/>
    </row>
    <row r="334">
      <c r="A334" s="4"/>
      <c r="K334" s="4"/>
      <c r="L334" s="4"/>
      <c r="M334" s="4"/>
      <c r="N334" s="4"/>
      <c r="O334" s="29"/>
      <c r="P334" s="4"/>
      <c r="Q334" s="4"/>
      <c r="R334" s="4"/>
      <c r="T334" s="17"/>
      <c r="V334" s="18"/>
      <c r="W334" s="19"/>
      <c r="X334" s="17"/>
      <c r="AB334" s="23"/>
    </row>
    <row r="335">
      <c r="A335" s="4"/>
      <c r="K335" s="4"/>
      <c r="L335" s="4"/>
      <c r="M335" s="4"/>
      <c r="N335" s="4"/>
      <c r="O335" s="29"/>
      <c r="P335" s="4"/>
      <c r="Q335" s="4"/>
      <c r="R335" s="4"/>
      <c r="T335" s="17"/>
      <c r="V335" s="18"/>
      <c r="W335" s="19"/>
      <c r="X335" s="17"/>
      <c r="AB335" s="23"/>
    </row>
    <row r="336">
      <c r="A336" s="4"/>
      <c r="K336" s="4"/>
      <c r="L336" s="4"/>
      <c r="M336" s="4"/>
      <c r="N336" s="4"/>
      <c r="O336" s="29"/>
      <c r="P336" s="4"/>
      <c r="Q336" s="4"/>
      <c r="R336" s="4"/>
      <c r="T336" s="17"/>
      <c r="V336" s="18"/>
      <c r="W336" s="19"/>
      <c r="X336" s="17"/>
      <c r="AB336" s="23"/>
    </row>
    <row r="337">
      <c r="A337" s="4"/>
      <c r="K337" s="4"/>
      <c r="L337" s="4"/>
      <c r="M337" s="4"/>
      <c r="N337" s="4"/>
      <c r="O337" s="29"/>
      <c r="P337" s="4"/>
      <c r="Q337" s="4"/>
      <c r="R337" s="4"/>
      <c r="T337" s="17"/>
      <c r="V337" s="18"/>
      <c r="W337" s="19"/>
      <c r="X337" s="17"/>
      <c r="AB337" s="23"/>
    </row>
    <row r="338">
      <c r="A338" s="4"/>
      <c r="K338" s="4"/>
      <c r="L338" s="4"/>
      <c r="M338" s="4"/>
      <c r="N338" s="4"/>
      <c r="O338" s="29"/>
      <c r="P338" s="4"/>
      <c r="Q338" s="4"/>
      <c r="R338" s="4"/>
      <c r="T338" s="17"/>
      <c r="V338" s="18"/>
      <c r="W338" s="19"/>
      <c r="X338" s="17"/>
      <c r="AB338" s="23"/>
    </row>
    <row r="339">
      <c r="A339" s="4"/>
      <c r="K339" s="4"/>
      <c r="L339" s="4"/>
      <c r="M339" s="4"/>
      <c r="N339" s="4"/>
      <c r="O339" s="29"/>
      <c r="P339" s="4"/>
      <c r="Q339" s="4"/>
      <c r="R339" s="4"/>
      <c r="T339" s="17"/>
      <c r="V339" s="18"/>
      <c r="W339" s="19"/>
      <c r="X339" s="17"/>
      <c r="AB339" s="23"/>
    </row>
    <row r="340">
      <c r="A340" s="4"/>
      <c r="K340" s="4"/>
      <c r="L340" s="4"/>
      <c r="M340" s="4"/>
      <c r="N340" s="4"/>
      <c r="O340" s="29"/>
      <c r="P340" s="4"/>
      <c r="Q340" s="4"/>
      <c r="R340" s="4"/>
      <c r="T340" s="17"/>
      <c r="V340" s="18"/>
      <c r="W340" s="19"/>
      <c r="X340" s="17"/>
      <c r="AB340" s="23"/>
    </row>
    <row r="341">
      <c r="A341" s="4"/>
      <c r="K341" s="4"/>
      <c r="L341" s="4"/>
      <c r="M341" s="4"/>
      <c r="N341" s="4"/>
      <c r="O341" s="29"/>
      <c r="P341" s="4"/>
      <c r="Q341" s="4"/>
      <c r="R341" s="4"/>
      <c r="T341" s="17"/>
      <c r="V341" s="18"/>
      <c r="W341" s="19"/>
      <c r="X341" s="17"/>
      <c r="AB341" s="23"/>
    </row>
    <row r="342">
      <c r="A342" s="4"/>
      <c r="K342" s="4"/>
      <c r="L342" s="4"/>
      <c r="M342" s="4"/>
      <c r="N342" s="4"/>
      <c r="O342" s="29"/>
      <c r="P342" s="4"/>
      <c r="Q342" s="4"/>
      <c r="R342" s="4"/>
      <c r="T342" s="17"/>
      <c r="V342" s="18"/>
      <c r="W342" s="19"/>
      <c r="X342" s="17"/>
      <c r="AB342" s="23"/>
    </row>
    <row r="343">
      <c r="A343" s="4"/>
      <c r="K343" s="4"/>
      <c r="L343" s="4"/>
      <c r="M343" s="4"/>
      <c r="N343" s="4"/>
      <c r="O343" s="29"/>
      <c r="P343" s="4"/>
      <c r="Q343" s="4"/>
      <c r="R343" s="4"/>
      <c r="T343" s="17"/>
      <c r="V343" s="18"/>
      <c r="W343" s="19"/>
      <c r="X343" s="17"/>
      <c r="AB343" s="23"/>
    </row>
    <row r="344">
      <c r="A344" s="4"/>
      <c r="K344" s="4"/>
      <c r="L344" s="4"/>
      <c r="M344" s="4"/>
      <c r="N344" s="4"/>
      <c r="O344" s="29"/>
      <c r="P344" s="4"/>
      <c r="Q344" s="4"/>
      <c r="R344" s="4"/>
      <c r="T344" s="17"/>
      <c r="V344" s="18"/>
      <c r="W344" s="19"/>
      <c r="X344" s="17"/>
      <c r="AB344" s="23"/>
    </row>
    <row r="345">
      <c r="A345" s="4"/>
      <c r="K345" s="4"/>
      <c r="L345" s="4"/>
      <c r="M345" s="4"/>
      <c r="N345" s="4"/>
      <c r="O345" s="29"/>
      <c r="P345" s="4"/>
      <c r="Q345" s="4"/>
      <c r="R345" s="4"/>
      <c r="T345" s="17"/>
      <c r="V345" s="18"/>
      <c r="W345" s="19"/>
      <c r="X345" s="17"/>
      <c r="AB345" s="23"/>
    </row>
    <row r="346">
      <c r="A346" s="4"/>
      <c r="K346" s="4"/>
      <c r="L346" s="4"/>
      <c r="M346" s="4"/>
      <c r="N346" s="4"/>
      <c r="O346" s="29"/>
      <c r="P346" s="4"/>
      <c r="Q346" s="4"/>
      <c r="R346" s="4"/>
      <c r="T346" s="17"/>
      <c r="V346" s="18"/>
      <c r="W346" s="19"/>
      <c r="X346" s="17"/>
      <c r="AB346" s="23"/>
    </row>
    <row r="347">
      <c r="A347" s="4"/>
      <c r="K347" s="4"/>
      <c r="L347" s="4"/>
      <c r="M347" s="4"/>
      <c r="N347" s="4"/>
      <c r="O347" s="29"/>
      <c r="P347" s="4"/>
      <c r="Q347" s="4"/>
      <c r="R347" s="4"/>
      <c r="T347" s="17"/>
      <c r="V347" s="18"/>
      <c r="W347" s="19"/>
      <c r="X347" s="17"/>
      <c r="AB347" s="23"/>
    </row>
    <row r="348">
      <c r="A348" s="4"/>
      <c r="K348" s="4"/>
      <c r="L348" s="4"/>
      <c r="M348" s="4"/>
      <c r="N348" s="4"/>
      <c r="O348" s="29"/>
      <c r="P348" s="4"/>
      <c r="Q348" s="4"/>
      <c r="R348" s="4"/>
      <c r="T348" s="17"/>
      <c r="V348" s="18"/>
      <c r="W348" s="19"/>
      <c r="X348" s="17"/>
      <c r="AB348" s="23"/>
    </row>
    <row r="349">
      <c r="A349" s="4"/>
      <c r="K349" s="4"/>
      <c r="L349" s="4"/>
      <c r="M349" s="4"/>
      <c r="N349" s="4"/>
      <c r="O349" s="29"/>
      <c r="P349" s="4"/>
      <c r="Q349" s="4"/>
      <c r="R349" s="4"/>
      <c r="T349" s="17"/>
      <c r="V349" s="18"/>
      <c r="W349" s="19"/>
      <c r="X349" s="17"/>
      <c r="AB349" s="23"/>
    </row>
    <row r="350">
      <c r="A350" s="4"/>
      <c r="K350" s="4"/>
      <c r="L350" s="4"/>
      <c r="M350" s="4"/>
      <c r="N350" s="4"/>
      <c r="O350" s="29"/>
      <c r="P350" s="4"/>
      <c r="Q350" s="4"/>
      <c r="R350" s="4"/>
      <c r="T350" s="17"/>
      <c r="V350" s="18"/>
      <c r="W350" s="19"/>
      <c r="X350" s="17"/>
      <c r="AB350" s="23"/>
    </row>
    <row r="351">
      <c r="A351" s="4"/>
      <c r="K351" s="4"/>
      <c r="L351" s="4"/>
      <c r="M351" s="4"/>
      <c r="N351" s="4"/>
      <c r="O351" s="29"/>
      <c r="P351" s="4"/>
      <c r="Q351" s="4"/>
      <c r="R351" s="4"/>
      <c r="T351" s="17"/>
      <c r="V351" s="18"/>
      <c r="W351" s="19"/>
      <c r="X351" s="17"/>
      <c r="AB351" s="23"/>
    </row>
    <row r="352">
      <c r="A352" s="4"/>
      <c r="K352" s="4"/>
      <c r="L352" s="4"/>
      <c r="M352" s="4"/>
      <c r="N352" s="4"/>
      <c r="O352" s="29"/>
      <c r="P352" s="4"/>
      <c r="Q352" s="4"/>
      <c r="R352" s="4"/>
      <c r="T352" s="17"/>
      <c r="V352" s="18"/>
      <c r="W352" s="19"/>
      <c r="X352" s="17"/>
      <c r="AB352" s="23"/>
    </row>
    <row r="353">
      <c r="A353" s="4"/>
      <c r="K353" s="4"/>
      <c r="L353" s="4"/>
      <c r="M353" s="4"/>
      <c r="N353" s="4"/>
      <c r="O353" s="29"/>
      <c r="P353" s="4"/>
      <c r="Q353" s="4"/>
      <c r="R353" s="4"/>
      <c r="T353" s="17"/>
      <c r="V353" s="18"/>
      <c r="W353" s="19"/>
      <c r="X353" s="17"/>
      <c r="AB353" s="23"/>
    </row>
    <row r="354">
      <c r="A354" s="4"/>
      <c r="K354" s="4"/>
      <c r="L354" s="4"/>
      <c r="M354" s="4"/>
      <c r="N354" s="4"/>
      <c r="O354" s="29"/>
      <c r="P354" s="4"/>
      <c r="Q354" s="4"/>
      <c r="R354" s="4"/>
      <c r="T354" s="17"/>
      <c r="V354" s="18"/>
      <c r="W354" s="19"/>
      <c r="X354" s="17"/>
      <c r="AB354" s="23"/>
    </row>
    <row r="355">
      <c r="A355" s="4"/>
      <c r="K355" s="4"/>
      <c r="L355" s="4"/>
      <c r="M355" s="4"/>
      <c r="N355" s="4"/>
      <c r="O355" s="29"/>
      <c r="P355" s="4"/>
      <c r="Q355" s="4"/>
      <c r="R355" s="4"/>
      <c r="T355" s="17"/>
      <c r="V355" s="18"/>
      <c r="W355" s="19"/>
      <c r="X355" s="17"/>
      <c r="AB355" s="23"/>
    </row>
    <row r="356">
      <c r="A356" s="4"/>
      <c r="K356" s="4"/>
      <c r="L356" s="4"/>
      <c r="M356" s="4"/>
      <c r="N356" s="4"/>
      <c r="O356" s="29"/>
      <c r="P356" s="4"/>
      <c r="Q356" s="4"/>
      <c r="R356" s="4"/>
      <c r="T356" s="17"/>
      <c r="V356" s="18"/>
      <c r="W356" s="19"/>
      <c r="X356" s="17"/>
      <c r="AB356" s="23"/>
    </row>
    <row r="357">
      <c r="A357" s="4"/>
      <c r="K357" s="4"/>
      <c r="L357" s="4"/>
      <c r="M357" s="4"/>
      <c r="N357" s="4"/>
      <c r="O357" s="29"/>
      <c r="P357" s="4"/>
      <c r="Q357" s="4"/>
      <c r="R357" s="4"/>
      <c r="T357" s="17"/>
      <c r="V357" s="18"/>
      <c r="W357" s="19"/>
      <c r="X357" s="17"/>
      <c r="AB357" s="23"/>
    </row>
    <row r="358">
      <c r="A358" s="4"/>
      <c r="K358" s="4"/>
      <c r="L358" s="4"/>
      <c r="M358" s="4"/>
      <c r="N358" s="4"/>
      <c r="O358" s="29"/>
      <c r="P358" s="4"/>
      <c r="Q358" s="4"/>
      <c r="R358" s="4"/>
      <c r="T358" s="17"/>
      <c r="V358" s="18"/>
      <c r="W358" s="19"/>
      <c r="X358" s="17"/>
      <c r="AB358" s="23"/>
    </row>
    <row r="359">
      <c r="A359" s="4"/>
      <c r="K359" s="4"/>
      <c r="L359" s="4"/>
      <c r="M359" s="4"/>
      <c r="N359" s="4"/>
      <c r="O359" s="29"/>
      <c r="P359" s="4"/>
      <c r="Q359" s="4"/>
      <c r="R359" s="4"/>
      <c r="T359" s="17"/>
      <c r="V359" s="18"/>
      <c r="W359" s="19"/>
      <c r="X359" s="17"/>
      <c r="AB359" s="23"/>
    </row>
    <row r="360">
      <c r="A360" s="4"/>
      <c r="K360" s="4"/>
      <c r="L360" s="4"/>
      <c r="M360" s="4"/>
      <c r="N360" s="4"/>
      <c r="O360" s="29"/>
      <c r="P360" s="4"/>
      <c r="Q360" s="4"/>
      <c r="R360" s="4"/>
      <c r="T360" s="17"/>
      <c r="V360" s="18"/>
      <c r="W360" s="19"/>
      <c r="X360" s="17"/>
      <c r="AB360" s="23"/>
    </row>
    <row r="361">
      <c r="A361" s="4"/>
      <c r="K361" s="4"/>
      <c r="L361" s="4"/>
      <c r="M361" s="4"/>
      <c r="N361" s="4"/>
      <c r="O361" s="29"/>
      <c r="P361" s="4"/>
      <c r="Q361" s="4"/>
      <c r="R361" s="4"/>
      <c r="T361" s="17"/>
      <c r="V361" s="18"/>
      <c r="W361" s="19"/>
      <c r="X361" s="17"/>
      <c r="AB361" s="23"/>
    </row>
    <row r="362">
      <c r="A362" s="4"/>
      <c r="K362" s="4"/>
      <c r="L362" s="4"/>
      <c r="M362" s="4"/>
      <c r="N362" s="4"/>
      <c r="O362" s="29"/>
      <c r="P362" s="4"/>
      <c r="Q362" s="4"/>
      <c r="R362" s="4"/>
      <c r="T362" s="17"/>
      <c r="V362" s="18"/>
      <c r="W362" s="19"/>
      <c r="X362" s="17"/>
      <c r="AB362" s="23"/>
    </row>
    <row r="363">
      <c r="A363" s="4"/>
      <c r="K363" s="4"/>
      <c r="L363" s="4"/>
      <c r="M363" s="4"/>
      <c r="N363" s="4"/>
      <c r="O363" s="29"/>
      <c r="P363" s="4"/>
      <c r="Q363" s="4"/>
      <c r="R363" s="4"/>
      <c r="T363" s="17"/>
      <c r="V363" s="18"/>
      <c r="W363" s="19"/>
      <c r="X363" s="17"/>
      <c r="AB363" s="23"/>
    </row>
    <row r="364">
      <c r="A364" s="4"/>
      <c r="K364" s="4"/>
      <c r="L364" s="4"/>
      <c r="M364" s="4"/>
      <c r="N364" s="4"/>
      <c r="O364" s="29"/>
      <c r="P364" s="4"/>
      <c r="Q364" s="4"/>
      <c r="R364" s="4"/>
      <c r="T364" s="17"/>
      <c r="V364" s="18"/>
      <c r="W364" s="19"/>
      <c r="X364" s="17"/>
      <c r="AB364" s="23"/>
    </row>
    <row r="365">
      <c r="A365" s="4"/>
      <c r="K365" s="4"/>
      <c r="L365" s="4"/>
      <c r="M365" s="4"/>
      <c r="N365" s="4"/>
      <c r="O365" s="29"/>
      <c r="P365" s="4"/>
      <c r="Q365" s="4"/>
      <c r="R365" s="4"/>
      <c r="T365" s="17"/>
      <c r="V365" s="18"/>
      <c r="W365" s="19"/>
      <c r="X365" s="17"/>
      <c r="AB365" s="23"/>
    </row>
    <row r="366">
      <c r="A366" s="4"/>
      <c r="K366" s="4"/>
      <c r="L366" s="4"/>
      <c r="M366" s="4"/>
      <c r="N366" s="4"/>
      <c r="O366" s="29"/>
      <c r="P366" s="4"/>
      <c r="Q366" s="4"/>
      <c r="R366" s="4"/>
      <c r="T366" s="17"/>
      <c r="V366" s="18"/>
      <c r="W366" s="19"/>
      <c r="X366" s="17"/>
      <c r="AB366" s="23"/>
    </row>
    <row r="367">
      <c r="A367" s="4"/>
      <c r="K367" s="4"/>
      <c r="L367" s="4"/>
      <c r="M367" s="4"/>
      <c r="N367" s="4"/>
      <c r="O367" s="29"/>
      <c r="P367" s="4"/>
      <c r="Q367" s="4"/>
      <c r="R367" s="4"/>
      <c r="T367" s="17"/>
      <c r="V367" s="18"/>
      <c r="W367" s="19"/>
      <c r="X367" s="17"/>
      <c r="AB367" s="23"/>
    </row>
    <row r="368">
      <c r="A368" s="4"/>
      <c r="K368" s="4"/>
      <c r="L368" s="4"/>
      <c r="M368" s="4"/>
      <c r="N368" s="4"/>
      <c r="O368" s="29"/>
      <c r="P368" s="4"/>
      <c r="Q368" s="4"/>
      <c r="R368" s="4"/>
      <c r="T368" s="17"/>
      <c r="V368" s="18"/>
      <c r="W368" s="19"/>
      <c r="X368" s="17"/>
      <c r="AB368" s="23"/>
    </row>
    <row r="369">
      <c r="A369" s="4"/>
      <c r="K369" s="4"/>
      <c r="L369" s="4"/>
      <c r="M369" s="4"/>
      <c r="N369" s="4"/>
      <c r="O369" s="29"/>
      <c r="P369" s="4"/>
      <c r="Q369" s="4"/>
      <c r="R369" s="4"/>
      <c r="T369" s="17"/>
      <c r="V369" s="18"/>
      <c r="W369" s="19"/>
      <c r="X369" s="17"/>
      <c r="AB369" s="23"/>
    </row>
    <row r="370">
      <c r="A370" s="4"/>
      <c r="K370" s="4"/>
      <c r="L370" s="4"/>
      <c r="M370" s="4"/>
      <c r="N370" s="4"/>
      <c r="O370" s="29"/>
      <c r="P370" s="4"/>
      <c r="Q370" s="4"/>
      <c r="R370" s="4"/>
      <c r="T370" s="17"/>
      <c r="V370" s="18"/>
      <c r="W370" s="19"/>
      <c r="X370" s="17"/>
      <c r="AB370" s="23"/>
    </row>
    <row r="371">
      <c r="A371" s="4"/>
      <c r="K371" s="4"/>
      <c r="L371" s="4"/>
      <c r="M371" s="4"/>
      <c r="N371" s="4"/>
      <c r="O371" s="29"/>
      <c r="P371" s="4"/>
      <c r="Q371" s="4"/>
      <c r="R371" s="4"/>
      <c r="T371" s="17"/>
      <c r="V371" s="18"/>
      <c r="W371" s="19"/>
      <c r="X371" s="17"/>
      <c r="AB371" s="23"/>
    </row>
    <row r="372">
      <c r="A372" s="4"/>
      <c r="K372" s="4"/>
      <c r="L372" s="4"/>
      <c r="M372" s="4"/>
      <c r="N372" s="4"/>
      <c r="O372" s="29"/>
      <c r="P372" s="4"/>
      <c r="Q372" s="4"/>
      <c r="R372" s="4"/>
      <c r="T372" s="17"/>
      <c r="V372" s="18"/>
      <c r="W372" s="19"/>
      <c r="X372" s="17"/>
      <c r="AB372" s="23"/>
    </row>
    <row r="373">
      <c r="A373" s="4"/>
      <c r="K373" s="4"/>
      <c r="L373" s="4"/>
      <c r="M373" s="4"/>
      <c r="N373" s="4"/>
      <c r="O373" s="29"/>
      <c r="P373" s="4"/>
      <c r="Q373" s="4"/>
      <c r="R373" s="4"/>
      <c r="T373" s="17"/>
      <c r="V373" s="18"/>
      <c r="W373" s="19"/>
      <c r="X373" s="17"/>
      <c r="AB373" s="23"/>
    </row>
    <row r="374">
      <c r="A374" s="4"/>
      <c r="K374" s="4"/>
      <c r="L374" s="4"/>
      <c r="M374" s="4"/>
      <c r="N374" s="4"/>
      <c r="O374" s="29"/>
      <c r="P374" s="4"/>
      <c r="Q374" s="4"/>
      <c r="R374" s="4"/>
      <c r="T374" s="17"/>
      <c r="V374" s="18"/>
      <c r="W374" s="19"/>
      <c r="X374" s="17"/>
      <c r="AB374" s="23"/>
    </row>
    <row r="375">
      <c r="A375" s="4"/>
      <c r="K375" s="4"/>
      <c r="L375" s="4"/>
      <c r="M375" s="4"/>
      <c r="N375" s="4"/>
      <c r="O375" s="29"/>
      <c r="P375" s="4"/>
      <c r="Q375" s="4"/>
      <c r="R375" s="4"/>
      <c r="T375" s="17"/>
      <c r="V375" s="18"/>
      <c r="W375" s="19"/>
      <c r="X375" s="17"/>
      <c r="AB375" s="23"/>
    </row>
    <row r="376">
      <c r="A376" s="4"/>
      <c r="K376" s="4"/>
      <c r="L376" s="4"/>
      <c r="M376" s="4"/>
      <c r="N376" s="4"/>
      <c r="O376" s="29"/>
      <c r="P376" s="4"/>
      <c r="Q376" s="4"/>
      <c r="R376" s="4"/>
      <c r="T376" s="17"/>
      <c r="V376" s="18"/>
      <c r="W376" s="19"/>
      <c r="X376" s="17"/>
      <c r="AB376" s="23"/>
    </row>
    <row r="377">
      <c r="A377" s="4"/>
      <c r="K377" s="4"/>
      <c r="L377" s="4"/>
      <c r="M377" s="4"/>
      <c r="N377" s="4"/>
      <c r="O377" s="29"/>
      <c r="P377" s="4"/>
      <c r="Q377" s="4"/>
      <c r="R377" s="4"/>
      <c r="T377" s="17"/>
      <c r="V377" s="18"/>
      <c r="W377" s="19"/>
      <c r="X377" s="17"/>
      <c r="AB377" s="23"/>
    </row>
    <row r="378">
      <c r="A378" s="4"/>
      <c r="K378" s="4"/>
      <c r="L378" s="4"/>
      <c r="M378" s="4"/>
      <c r="N378" s="4"/>
      <c r="O378" s="29"/>
      <c r="P378" s="4"/>
      <c r="Q378" s="4"/>
      <c r="R378" s="4"/>
      <c r="T378" s="17"/>
      <c r="V378" s="18"/>
      <c r="W378" s="19"/>
      <c r="X378" s="17"/>
      <c r="AB378" s="23"/>
    </row>
    <row r="379">
      <c r="A379" s="4"/>
      <c r="K379" s="4"/>
      <c r="L379" s="4"/>
      <c r="M379" s="4"/>
      <c r="N379" s="4"/>
      <c r="O379" s="29"/>
      <c r="P379" s="4"/>
      <c r="Q379" s="4"/>
      <c r="R379" s="4"/>
      <c r="T379" s="17"/>
      <c r="V379" s="18"/>
      <c r="W379" s="19"/>
      <c r="X379" s="17"/>
      <c r="AB379" s="23"/>
    </row>
    <row r="380">
      <c r="A380" s="4"/>
      <c r="K380" s="4"/>
      <c r="L380" s="4"/>
      <c r="M380" s="4"/>
      <c r="N380" s="4"/>
      <c r="O380" s="29"/>
      <c r="P380" s="4"/>
      <c r="Q380" s="4"/>
      <c r="R380" s="4"/>
      <c r="T380" s="17"/>
      <c r="V380" s="18"/>
      <c r="W380" s="19"/>
      <c r="X380" s="17"/>
      <c r="AB380" s="23"/>
    </row>
    <row r="381">
      <c r="A381" s="4"/>
      <c r="K381" s="4"/>
      <c r="L381" s="4"/>
      <c r="M381" s="4"/>
      <c r="N381" s="4"/>
      <c r="O381" s="29"/>
      <c r="P381" s="4"/>
      <c r="Q381" s="4"/>
      <c r="R381" s="4"/>
      <c r="T381" s="17"/>
      <c r="V381" s="18"/>
      <c r="W381" s="19"/>
      <c r="X381" s="17"/>
      <c r="AB381" s="23"/>
    </row>
    <row r="382">
      <c r="A382" s="4"/>
      <c r="K382" s="4"/>
      <c r="L382" s="4"/>
      <c r="M382" s="4"/>
      <c r="N382" s="4"/>
      <c r="O382" s="29"/>
      <c r="P382" s="4"/>
      <c r="Q382" s="4"/>
      <c r="R382" s="4"/>
      <c r="T382" s="17"/>
      <c r="V382" s="18"/>
      <c r="W382" s="19"/>
      <c r="X382" s="17"/>
      <c r="AB382" s="23"/>
    </row>
    <row r="383">
      <c r="A383" s="4"/>
      <c r="K383" s="4"/>
      <c r="L383" s="4"/>
      <c r="M383" s="4"/>
      <c r="N383" s="4"/>
      <c r="O383" s="29"/>
      <c r="P383" s="4"/>
      <c r="Q383" s="4"/>
      <c r="R383" s="4"/>
      <c r="T383" s="17"/>
      <c r="V383" s="18"/>
      <c r="W383" s="19"/>
      <c r="X383" s="17"/>
      <c r="AB383" s="23"/>
    </row>
    <row r="384">
      <c r="A384" s="4"/>
      <c r="K384" s="4"/>
      <c r="L384" s="4"/>
      <c r="M384" s="4"/>
      <c r="N384" s="4"/>
      <c r="O384" s="29"/>
      <c r="P384" s="4"/>
      <c r="Q384" s="4"/>
      <c r="R384" s="4"/>
      <c r="T384" s="17"/>
      <c r="V384" s="18"/>
      <c r="W384" s="19"/>
      <c r="X384" s="17"/>
      <c r="AB384" s="23"/>
    </row>
    <row r="385">
      <c r="A385" s="4"/>
      <c r="K385" s="4"/>
      <c r="L385" s="4"/>
      <c r="M385" s="4"/>
      <c r="N385" s="4"/>
      <c r="O385" s="29"/>
      <c r="P385" s="4"/>
      <c r="Q385" s="4"/>
      <c r="R385" s="4"/>
      <c r="T385" s="17"/>
      <c r="V385" s="18"/>
      <c r="W385" s="19"/>
      <c r="X385" s="17"/>
      <c r="AB385" s="23"/>
    </row>
    <row r="386">
      <c r="A386" s="4"/>
      <c r="K386" s="4"/>
      <c r="L386" s="4"/>
      <c r="M386" s="4"/>
      <c r="N386" s="4"/>
      <c r="O386" s="29"/>
      <c r="P386" s="4"/>
      <c r="Q386" s="4"/>
      <c r="R386" s="4"/>
      <c r="T386" s="17"/>
      <c r="V386" s="18"/>
      <c r="W386" s="19"/>
      <c r="X386" s="17"/>
      <c r="AB386" s="23"/>
    </row>
    <row r="387">
      <c r="A387" s="4"/>
      <c r="K387" s="4"/>
      <c r="L387" s="4"/>
      <c r="M387" s="4"/>
      <c r="N387" s="4"/>
      <c r="O387" s="29"/>
      <c r="P387" s="4"/>
      <c r="Q387" s="4"/>
      <c r="R387" s="4"/>
      <c r="T387" s="17"/>
      <c r="V387" s="18"/>
      <c r="W387" s="19"/>
      <c r="X387" s="17"/>
      <c r="AB387" s="23"/>
    </row>
    <row r="388">
      <c r="A388" s="4"/>
      <c r="K388" s="4"/>
      <c r="L388" s="4"/>
      <c r="M388" s="4"/>
      <c r="N388" s="4"/>
      <c r="O388" s="29"/>
      <c r="P388" s="4"/>
      <c r="Q388" s="4"/>
      <c r="R388" s="4"/>
      <c r="T388" s="17"/>
      <c r="V388" s="18"/>
      <c r="W388" s="19"/>
      <c r="X388" s="17"/>
      <c r="AB388" s="23"/>
    </row>
    <row r="389">
      <c r="A389" s="4"/>
      <c r="K389" s="4"/>
      <c r="L389" s="4"/>
      <c r="M389" s="4"/>
      <c r="N389" s="4"/>
      <c r="O389" s="29"/>
      <c r="P389" s="4"/>
      <c r="Q389" s="4"/>
      <c r="R389" s="4"/>
      <c r="T389" s="17"/>
      <c r="V389" s="18"/>
      <c r="W389" s="19"/>
      <c r="X389" s="17"/>
      <c r="AB389" s="23"/>
    </row>
    <row r="390">
      <c r="A390" s="4"/>
      <c r="K390" s="4"/>
      <c r="L390" s="4"/>
      <c r="M390" s="4"/>
      <c r="N390" s="4"/>
      <c r="O390" s="29"/>
      <c r="P390" s="4"/>
      <c r="Q390" s="4"/>
      <c r="R390" s="4"/>
      <c r="T390" s="17"/>
      <c r="V390" s="18"/>
      <c r="W390" s="19"/>
      <c r="X390" s="17"/>
      <c r="AB390" s="23"/>
    </row>
    <row r="391">
      <c r="A391" s="4"/>
      <c r="K391" s="4"/>
      <c r="L391" s="4"/>
      <c r="M391" s="4"/>
      <c r="N391" s="4"/>
      <c r="O391" s="29"/>
      <c r="P391" s="4"/>
      <c r="Q391" s="4"/>
      <c r="R391" s="4"/>
      <c r="T391" s="17"/>
      <c r="V391" s="18"/>
      <c r="W391" s="19"/>
      <c r="X391" s="17"/>
      <c r="AB391" s="23"/>
    </row>
    <row r="392">
      <c r="A392" s="4"/>
      <c r="K392" s="4"/>
      <c r="L392" s="4"/>
      <c r="M392" s="4"/>
      <c r="N392" s="4"/>
      <c r="O392" s="29"/>
      <c r="P392" s="4"/>
      <c r="Q392" s="4"/>
      <c r="R392" s="4"/>
      <c r="T392" s="17"/>
      <c r="V392" s="18"/>
      <c r="W392" s="19"/>
      <c r="X392" s="17"/>
      <c r="AB392" s="23"/>
    </row>
    <row r="393">
      <c r="A393" s="4"/>
      <c r="K393" s="4"/>
      <c r="L393" s="4"/>
      <c r="M393" s="4"/>
      <c r="N393" s="4"/>
      <c r="O393" s="29"/>
      <c r="P393" s="4"/>
      <c r="Q393" s="4"/>
      <c r="R393" s="4"/>
      <c r="T393" s="17"/>
      <c r="V393" s="18"/>
      <c r="W393" s="19"/>
      <c r="X393" s="17"/>
      <c r="AB393" s="23"/>
    </row>
    <row r="394">
      <c r="A394" s="4"/>
      <c r="K394" s="4"/>
      <c r="L394" s="4"/>
      <c r="M394" s="4"/>
      <c r="N394" s="4"/>
      <c r="O394" s="29"/>
      <c r="P394" s="4"/>
      <c r="Q394" s="4"/>
      <c r="R394" s="4"/>
      <c r="T394" s="17"/>
      <c r="V394" s="18"/>
      <c r="W394" s="19"/>
      <c r="X394" s="17"/>
      <c r="AB394" s="23"/>
    </row>
    <row r="395">
      <c r="A395" s="4"/>
      <c r="K395" s="4"/>
      <c r="L395" s="4"/>
      <c r="M395" s="4"/>
      <c r="N395" s="4"/>
      <c r="O395" s="29"/>
      <c r="P395" s="4"/>
      <c r="Q395" s="4"/>
      <c r="R395" s="4"/>
      <c r="T395" s="17"/>
      <c r="V395" s="18"/>
      <c r="W395" s="19"/>
      <c r="X395" s="17"/>
      <c r="AB395" s="23"/>
    </row>
    <row r="396">
      <c r="A396" s="4"/>
      <c r="K396" s="4"/>
      <c r="L396" s="4"/>
      <c r="M396" s="4"/>
      <c r="N396" s="4"/>
      <c r="O396" s="29"/>
      <c r="P396" s="4"/>
      <c r="Q396" s="4"/>
      <c r="R396" s="4"/>
      <c r="T396" s="17"/>
      <c r="V396" s="18"/>
      <c r="W396" s="19"/>
      <c r="X396" s="17"/>
      <c r="AB396" s="23"/>
    </row>
    <row r="397">
      <c r="A397" s="4"/>
      <c r="K397" s="4"/>
      <c r="L397" s="4"/>
      <c r="M397" s="4"/>
      <c r="N397" s="4"/>
      <c r="O397" s="29"/>
      <c r="P397" s="4"/>
      <c r="Q397" s="4"/>
      <c r="R397" s="4"/>
      <c r="T397" s="17"/>
      <c r="V397" s="18"/>
      <c r="W397" s="19"/>
      <c r="X397" s="17"/>
      <c r="AB397" s="23"/>
    </row>
    <row r="398">
      <c r="A398" s="4"/>
      <c r="K398" s="4"/>
      <c r="L398" s="4"/>
      <c r="M398" s="4"/>
      <c r="N398" s="4"/>
      <c r="O398" s="29"/>
      <c r="P398" s="4"/>
      <c r="Q398" s="4"/>
      <c r="R398" s="4"/>
      <c r="T398" s="17"/>
      <c r="V398" s="18"/>
      <c r="W398" s="19"/>
      <c r="X398" s="17"/>
      <c r="AB398" s="23"/>
    </row>
    <row r="399">
      <c r="A399" s="4"/>
      <c r="K399" s="4"/>
      <c r="L399" s="4"/>
      <c r="M399" s="4"/>
      <c r="N399" s="4"/>
      <c r="O399" s="29"/>
      <c r="P399" s="4"/>
      <c r="Q399" s="4"/>
      <c r="R399" s="4"/>
      <c r="T399" s="17"/>
      <c r="V399" s="18"/>
      <c r="W399" s="19"/>
      <c r="X399" s="17"/>
      <c r="AB399" s="23"/>
    </row>
    <row r="400">
      <c r="A400" s="4"/>
      <c r="K400" s="4"/>
      <c r="L400" s="4"/>
      <c r="M400" s="4"/>
      <c r="N400" s="4"/>
      <c r="O400" s="29"/>
      <c r="P400" s="4"/>
      <c r="Q400" s="4"/>
      <c r="R400" s="4"/>
      <c r="T400" s="17"/>
      <c r="V400" s="18"/>
      <c r="W400" s="19"/>
      <c r="X400" s="17"/>
      <c r="AB400" s="23"/>
    </row>
    <row r="401">
      <c r="A401" s="4"/>
      <c r="K401" s="4"/>
      <c r="L401" s="4"/>
      <c r="M401" s="4"/>
      <c r="N401" s="4"/>
      <c r="O401" s="29"/>
      <c r="P401" s="4"/>
      <c r="Q401" s="4"/>
      <c r="R401" s="4"/>
      <c r="T401" s="17"/>
      <c r="V401" s="18"/>
      <c r="W401" s="19"/>
      <c r="X401" s="17"/>
      <c r="AB401" s="23"/>
    </row>
    <row r="402">
      <c r="A402" s="4"/>
      <c r="K402" s="4"/>
      <c r="L402" s="4"/>
      <c r="M402" s="4"/>
      <c r="N402" s="4"/>
      <c r="O402" s="29"/>
      <c r="P402" s="4"/>
      <c r="Q402" s="4"/>
      <c r="R402" s="4"/>
      <c r="T402" s="17"/>
      <c r="V402" s="18"/>
      <c r="W402" s="19"/>
      <c r="X402" s="17"/>
      <c r="AB402" s="23"/>
    </row>
    <row r="403">
      <c r="A403" s="4"/>
      <c r="K403" s="4"/>
      <c r="L403" s="4"/>
      <c r="M403" s="4"/>
      <c r="N403" s="4"/>
      <c r="O403" s="29"/>
      <c r="P403" s="4"/>
      <c r="Q403" s="4"/>
      <c r="R403" s="4"/>
      <c r="T403" s="17"/>
      <c r="V403" s="18"/>
      <c r="W403" s="19"/>
      <c r="X403" s="17"/>
      <c r="AB403" s="23"/>
    </row>
    <row r="404">
      <c r="A404" s="4"/>
      <c r="K404" s="4"/>
      <c r="L404" s="4"/>
      <c r="M404" s="4"/>
      <c r="N404" s="4"/>
      <c r="O404" s="29"/>
      <c r="P404" s="4"/>
      <c r="Q404" s="4"/>
      <c r="R404" s="4"/>
      <c r="T404" s="17"/>
      <c r="V404" s="18"/>
      <c r="W404" s="19"/>
      <c r="X404" s="17"/>
      <c r="AB404" s="23"/>
    </row>
    <row r="405">
      <c r="A405" s="4"/>
      <c r="K405" s="4"/>
      <c r="L405" s="4"/>
      <c r="M405" s="4"/>
      <c r="N405" s="4"/>
      <c r="O405" s="29"/>
      <c r="P405" s="4"/>
      <c r="Q405" s="4"/>
      <c r="R405" s="4"/>
      <c r="T405" s="17"/>
      <c r="V405" s="18"/>
      <c r="W405" s="19"/>
      <c r="X405" s="17"/>
      <c r="AB405" s="23"/>
    </row>
    <row r="406">
      <c r="A406" s="4"/>
      <c r="K406" s="4"/>
      <c r="L406" s="4"/>
      <c r="M406" s="4"/>
      <c r="N406" s="4"/>
      <c r="O406" s="29"/>
      <c r="P406" s="4"/>
      <c r="Q406" s="4"/>
      <c r="R406" s="4"/>
      <c r="T406" s="17"/>
      <c r="V406" s="18"/>
      <c r="W406" s="19"/>
      <c r="X406" s="17"/>
      <c r="AB406" s="23"/>
    </row>
    <row r="407">
      <c r="A407" s="4"/>
      <c r="K407" s="4"/>
      <c r="L407" s="4"/>
      <c r="M407" s="4"/>
      <c r="N407" s="4"/>
      <c r="O407" s="29"/>
      <c r="P407" s="4"/>
      <c r="Q407" s="4"/>
      <c r="R407" s="4"/>
      <c r="T407" s="17"/>
      <c r="V407" s="18"/>
      <c r="W407" s="19"/>
      <c r="X407" s="17"/>
      <c r="AB407" s="23"/>
    </row>
    <row r="408">
      <c r="A408" s="4"/>
      <c r="K408" s="4"/>
      <c r="L408" s="4"/>
      <c r="M408" s="4"/>
      <c r="N408" s="4"/>
      <c r="O408" s="29"/>
      <c r="P408" s="4"/>
      <c r="Q408" s="4"/>
      <c r="R408" s="4"/>
      <c r="T408" s="17"/>
      <c r="V408" s="18"/>
      <c r="W408" s="19"/>
      <c r="X408" s="17"/>
      <c r="AB408" s="23"/>
    </row>
    <row r="409">
      <c r="A409" s="4"/>
      <c r="K409" s="4"/>
      <c r="L409" s="4"/>
      <c r="M409" s="4"/>
      <c r="N409" s="4"/>
      <c r="O409" s="29"/>
      <c r="P409" s="4"/>
      <c r="Q409" s="4"/>
      <c r="R409" s="4"/>
      <c r="T409" s="17"/>
      <c r="V409" s="18"/>
      <c r="W409" s="19"/>
      <c r="X409" s="17"/>
      <c r="AB409" s="23"/>
    </row>
    <row r="410">
      <c r="A410" s="4"/>
      <c r="K410" s="4"/>
      <c r="L410" s="4"/>
      <c r="M410" s="4"/>
      <c r="N410" s="4"/>
      <c r="O410" s="29"/>
      <c r="P410" s="4"/>
      <c r="Q410" s="4"/>
      <c r="R410" s="4"/>
      <c r="T410" s="17"/>
      <c r="V410" s="18"/>
      <c r="W410" s="19"/>
      <c r="X410" s="17"/>
      <c r="AB410" s="23"/>
    </row>
    <row r="411">
      <c r="A411" s="4"/>
      <c r="K411" s="4"/>
      <c r="L411" s="4"/>
      <c r="M411" s="4"/>
      <c r="N411" s="4"/>
      <c r="O411" s="29"/>
      <c r="P411" s="4"/>
      <c r="Q411" s="4"/>
      <c r="R411" s="4"/>
      <c r="T411" s="17"/>
      <c r="V411" s="18"/>
      <c r="W411" s="19"/>
      <c r="X411" s="17"/>
      <c r="AB411" s="23"/>
    </row>
    <row r="412">
      <c r="A412" s="4"/>
      <c r="K412" s="4"/>
      <c r="L412" s="4"/>
      <c r="M412" s="4"/>
      <c r="N412" s="4"/>
      <c r="O412" s="29"/>
      <c r="P412" s="4"/>
      <c r="Q412" s="4"/>
      <c r="R412" s="4"/>
      <c r="T412" s="17"/>
      <c r="V412" s="18"/>
      <c r="W412" s="19"/>
      <c r="X412" s="17"/>
      <c r="AB412" s="23"/>
    </row>
    <row r="413">
      <c r="A413" s="4"/>
      <c r="K413" s="4"/>
      <c r="L413" s="4"/>
      <c r="M413" s="4"/>
      <c r="N413" s="4"/>
      <c r="O413" s="29"/>
      <c r="P413" s="4"/>
      <c r="Q413" s="4"/>
      <c r="R413" s="4"/>
      <c r="T413" s="17"/>
      <c r="V413" s="18"/>
      <c r="W413" s="19"/>
      <c r="X413" s="17"/>
      <c r="AB413" s="23"/>
    </row>
    <row r="414">
      <c r="A414" s="4"/>
      <c r="K414" s="4"/>
      <c r="L414" s="4"/>
      <c r="M414" s="4"/>
      <c r="N414" s="4"/>
      <c r="O414" s="29"/>
      <c r="P414" s="4"/>
      <c r="Q414" s="4"/>
      <c r="R414" s="4"/>
      <c r="T414" s="17"/>
      <c r="V414" s="18"/>
      <c r="W414" s="19"/>
      <c r="X414" s="17"/>
      <c r="AB414" s="23"/>
    </row>
    <row r="415">
      <c r="A415" s="4"/>
      <c r="K415" s="4"/>
      <c r="L415" s="4"/>
      <c r="M415" s="4"/>
      <c r="N415" s="4"/>
      <c r="O415" s="29"/>
      <c r="P415" s="4"/>
      <c r="Q415" s="4"/>
      <c r="R415" s="4"/>
      <c r="T415" s="17"/>
      <c r="V415" s="18"/>
      <c r="W415" s="19"/>
      <c r="X415" s="17"/>
      <c r="AB415" s="23"/>
    </row>
    <row r="416">
      <c r="A416" s="4"/>
      <c r="K416" s="4"/>
      <c r="L416" s="4"/>
      <c r="M416" s="4"/>
      <c r="N416" s="4"/>
      <c r="O416" s="29"/>
      <c r="P416" s="4"/>
      <c r="Q416" s="4"/>
      <c r="R416" s="4"/>
      <c r="T416" s="17"/>
      <c r="V416" s="18"/>
      <c r="W416" s="19"/>
      <c r="X416" s="17"/>
      <c r="AB416" s="23"/>
    </row>
    <row r="417">
      <c r="A417" s="4"/>
      <c r="K417" s="4"/>
      <c r="L417" s="4"/>
      <c r="M417" s="4"/>
      <c r="N417" s="4"/>
      <c r="O417" s="29"/>
      <c r="P417" s="4"/>
      <c r="Q417" s="4"/>
      <c r="R417" s="4"/>
      <c r="T417" s="17"/>
      <c r="V417" s="18"/>
      <c r="W417" s="19"/>
      <c r="X417" s="17"/>
      <c r="AB417" s="23"/>
    </row>
    <row r="418">
      <c r="A418" s="4"/>
      <c r="K418" s="4"/>
      <c r="L418" s="4"/>
      <c r="M418" s="4"/>
      <c r="N418" s="4"/>
      <c r="O418" s="29"/>
      <c r="P418" s="4"/>
      <c r="Q418" s="4"/>
      <c r="R418" s="4"/>
      <c r="T418" s="17"/>
      <c r="V418" s="18"/>
      <c r="W418" s="19"/>
      <c r="X418" s="17"/>
      <c r="AB418" s="23"/>
    </row>
    <row r="419">
      <c r="A419" s="4"/>
      <c r="K419" s="4"/>
      <c r="L419" s="4"/>
      <c r="M419" s="4"/>
      <c r="N419" s="4"/>
      <c r="O419" s="29"/>
      <c r="P419" s="4"/>
      <c r="Q419" s="4"/>
      <c r="R419" s="4"/>
      <c r="T419" s="17"/>
      <c r="V419" s="18"/>
      <c r="W419" s="19"/>
      <c r="X419" s="17"/>
      <c r="AB419" s="23"/>
    </row>
    <row r="420">
      <c r="A420" s="4"/>
      <c r="K420" s="4"/>
      <c r="L420" s="4"/>
      <c r="M420" s="4"/>
      <c r="N420" s="4"/>
      <c r="O420" s="29"/>
      <c r="P420" s="4"/>
      <c r="Q420" s="4"/>
      <c r="R420" s="4"/>
      <c r="T420" s="17"/>
      <c r="V420" s="18"/>
      <c r="W420" s="19"/>
      <c r="X420" s="17"/>
      <c r="AB420" s="23"/>
    </row>
    <row r="421">
      <c r="A421" s="4"/>
      <c r="K421" s="4"/>
      <c r="L421" s="4"/>
      <c r="M421" s="4"/>
      <c r="N421" s="4"/>
      <c r="O421" s="29"/>
      <c r="P421" s="4"/>
      <c r="Q421" s="4"/>
      <c r="R421" s="4"/>
      <c r="T421" s="17"/>
      <c r="V421" s="18"/>
      <c r="W421" s="19"/>
      <c r="X421" s="17"/>
      <c r="AB421" s="23"/>
    </row>
    <row r="422">
      <c r="A422" s="4"/>
      <c r="K422" s="4"/>
      <c r="L422" s="4"/>
      <c r="M422" s="4"/>
      <c r="N422" s="4"/>
      <c r="O422" s="29"/>
      <c r="P422" s="4"/>
      <c r="Q422" s="4"/>
      <c r="R422" s="4"/>
      <c r="T422" s="17"/>
      <c r="V422" s="18"/>
      <c r="W422" s="19"/>
      <c r="X422" s="17"/>
      <c r="AB422" s="23"/>
    </row>
    <row r="423">
      <c r="A423" s="4"/>
      <c r="K423" s="4"/>
      <c r="L423" s="4"/>
      <c r="M423" s="4"/>
      <c r="N423" s="4"/>
      <c r="O423" s="29"/>
      <c r="P423" s="4"/>
      <c r="Q423" s="4"/>
      <c r="R423" s="4"/>
      <c r="T423" s="17"/>
      <c r="V423" s="18"/>
      <c r="W423" s="19"/>
      <c r="X423" s="17"/>
      <c r="AB423" s="23"/>
    </row>
    <row r="424">
      <c r="A424" s="4"/>
      <c r="K424" s="4"/>
      <c r="L424" s="4"/>
      <c r="M424" s="4"/>
      <c r="N424" s="4"/>
      <c r="O424" s="29"/>
      <c r="P424" s="4"/>
      <c r="Q424" s="4"/>
      <c r="R424" s="4"/>
      <c r="T424" s="17"/>
      <c r="V424" s="18"/>
      <c r="W424" s="19"/>
      <c r="X424" s="17"/>
      <c r="AB424" s="23"/>
    </row>
    <row r="425">
      <c r="A425" s="4"/>
      <c r="K425" s="4"/>
      <c r="L425" s="4"/>
      <c r="M425" s="4"/>
      <c r="N425" s="4"/>
      <c r="O425" s="29"/>
      <c r="P425" s="4"/>
      <c r="Q425" s="4"/>
      <c r="R425" s="4"/>
      <c r="T425" s="17"/>
      <c r="V425" s="18"/>
      <c r="W425" s="19"/>
      <c r="X425" s="17"/>
      <c r="AB425" s="23"/>
    </row>
    <row r="426">
      <c r="A426" s="4"/>
      <c r="K426" s="4"/>
      <c r="L426" s="4"/>
      <c r="M426" s="4"/>
      <c r="N426" s="4"/>
      <c r="O426" s="29"/>
      <c r="P426" s="4"/>
      <c r="Q426" s="4"/>
      <c r="R426" s="4"/>
      <c r="T426" s="17"/>
      <c r="V426" s="18"/>
      <c r="W426" s="19"/>
      <c r="X426" s="17"/>
      <c r="AB426" s="23"/>
    </row>
    <row r="427">
      <c r="A427" s="4"/>
      <c r="K427" s="4"/>
      <c r="L427" s="4"/>
      <c r="M427" s="4"/>
      <c r="N427" s="4"/>
      <c r="O427" s="29"/>
      <c r="P427" s="4"/>
      <c r="Q427" s="4"/>
      <c r="R427" s="4"/>
      <c r="T427" s="17"/>
      <c r="V427" s="18"/>
      <c r="W427" s="19"/>
      <c r="X427" s="17"/>
      <c r="AB427" s="23"/>
    </row>
    <row r="428">
      <c r="A428" s="4"/>
      <c r="K428" s="4"/>
      <c r="L428" s="4"/>
      <c r="M428" s="4"/>
      <c r="N428" s="4"/>
      <c r="O428" s="29"/>
      <c r="P428" s="4"/>
      <c r="Q428" s="4"/>
      <c r="R428" s="4"/>
      <c r="T428" s="17"/>
      <c r="V428" s="18"/>
      <c r="W428" s="19"/>
      <c r="X428" s="17"/>
      <c r="AB428" s="23"/>
    </row>
    <row r="429">
      <c r="A429" s="4"/>
      <c r="K429" s="4"/>
      <c r="L429" s="4"/>
      <c r="M429" s="4"/>
      <c r="N429" s="4"/>
      <c r="O429" s="29"/>
      <c r="P429" s="4"/>
      <c r="Q429" s="4"/>
      <c r="R429" s="4"/>
      <c r="T429" s="17"/>
      <c r="V429" s="18"/>
      <c r="W429" s="19"/>
      <c r="X429" s="17"/>
      <c r="AB429" s="23"/>
    </row>
    <row r="430">
      <c r="A430" s="4"/>
      <c r="K430" s="4"/>
      <c r="L430" s="4"/>
      <c r="M430" s="4"/>
      <c r="N430" s="4"/>
      <c r="O430" s="29"/>
      <c r="P430" s="4"/>
      <c r="Q430" s="4"/>
      <c r="R430" s="4"/>
      <c r="T430" s="17"/>
      <c r="V430" s="18"/>
      <c r="W430" s="19"/>
      <c r="X430" s="17"/>
      <c r="AB430" s="23"/>
    </row>
    <row r="431">
      <c r="A431" s="4"/>
      <c r="K431" s="4"/>
      <c r="L431" s="4"/>
      <c r="M431" s="4"/>
      <c r="N431" s="4"/>
      <c r="O431" s="29"/>
      <c r="P431" s="4"/>
      <c r="Q431" s="4"/>
      <c r="R431" s="4"/>
      <c r="T431" s="17"/>
      <c r="V431" s="18"/>
      <c r="W431" s="19"/>
      <c r="X431" s="17"/>
      <c r="AB431" s="23"/>
    </row>
    <row r="432">
      <c r="A432" s="4"/>
      <c r="K432" s="4"/>
      <c r="L432" s="4"/>
      <c r="M432" s="4"/>
      <c r="N432" s="4"/>
      <c r="O432" s="29"/>
      <c r="P432" s="4"/>
      <c r="Q432" s="4"/>
      <c r="R432" s="4"/>
      <c r="T432" s="17"/>
      <c r="V432" s="18"/>
      <c r="W432" s="19"/>
      <c r="X432" s="17"/>
      <c r="AB432" s="23"/>
    </row>
    <row r="433">
      <c r="A433" s="4"/>
      <c r="K433" s="4"/>
      <c r="L433" s="4"/>
      <c r="M433" s="4"/>
      <c r="N433" s="4"/>
      <c r="O433" s="29"/>
      <c r="P433" s="4"/>
      <c r="Q433" s="4"/>
      <c r="R433" s="4"/>
      <c r="T433" s="17"/>
      <c r="V433" s="18"/>
      <c r="W433" s="19"/>
      <c r="X433" s="17"/>
      <c r="AB433" s="23"/>
    </row>
    <row r="434">
      <c r="A434" s="4"/>
      <c r="K434" s="4"/>
      <c r="L434" s="4"/>
      <c r="M434" s="4"/>
      <c r="N434" s="4"/>
      <c r="O434" s="29"/>
      <c r="P434" s="4"/>
      <c r="Q434" s="4"/>
      <c r="R434" s="4"/>
      <c r="T434" s="17"/>
      <c r="V434" s="18"/>
      <c r="W434" s="19"/>
      <c r="X434" s="17"/>
      <c r="AB434" s="23"/>
    </row>
    <row r="435">
      <c r="A435" s="4"/>
      <c r="K435" s="4"/>
      <c r="L435" s="4"/>
      <c r="M435" s="4"/>
      <c r="N435" s="4"/>
      <c r="O435" s="29"/>
      <c r="P435" s="4"/>
      <c r="Q435" s="4"/>
      <c r="R435" s="4"/>
      <c r="T435" s="17"/>
      <c r="V435" s="18"/>
      <c r="W435" s="19"/>
      <c r="X435" s="17"/>
      <c r="AB435" s="23"/>
    </row>
    <row r="436">
      <c r="A436" s="4"/>
      <c r="K436" s="4"/>
      <c r="L436" s="4"/>
      <c r="M436" s="4"/>
      <c r="N436" s="4"/>
      <c r="O436" s="29"/>
      <c r="P436" s="4"/>
      <c r="Q436" s="4"/>
      <c r="R436" s="4"/>
      <c r="T436" s="17"/>
      <c r="V436" s="18"/>
      <c r="W436" s="19"/>
      <c r="X436" s="17"/>
      <c r="AB436" s="23"/>
    </row>
    <row r="437">
      <c r="A437" s="4"/>
      <c r="K437" s="4"/>
      <c r="L437" s="4"/>
      <c r="M437" s="4"/>
      <c r="N437" s="4"/>
      <c r="O437" s="29"/>
      <c r="P437" s="4"/>
      <c r="Q437" s="4"/>
      <c r="R437" s="4"/>
      <c r="T437" s="17"/>
      <c r="V437" s="18"/>
      <c r="W437" s="19"/>
      <c r="X437" s="17"/>
      <c r="AB437" s="23"/>
    </row>
    <row r="438">
      <c r="A438" s="4"/>
      <c r="K438" s="4"/>
      <c r="L438" s="4"/>
      <c r="M438" s="4"/>
      <c r="N438" s="4"/>
      <c r="O438" s="29"/>
      <c r="P438" s="4"/>
      <c r="Q438" s="4"/>
      <c r="R438" s="4"/>
      <c r="T438" s="17"/>
      <c r="V438" s="18"/>
      <c r="W438" s="19"/>
      <c r="X438" s="17"/>
      <c r="AB438" s="23"/>
    </row>
    <row r="439">
      <c r="A439" s="4"/>
      <c r="K439" s="4"/>
      <c r="L439" s="4"/>
      <c r="M439" s="4"/>
      <c r="N439" s="4"/>
      <c r="O439" s="29"/>
      <c r="P439" s="4"/>
      <c r="Q439" s="4"/>
      <c r="R439" s="4"/>
      <c r="T439" s="17"/>
      <c r="V439" s="18"/>
      <c r="W439" s="19"/>
      <c r="X439" s="17"/>
      <c r="AB439" s="23"/>
    </row>
    <row r="440">
      <c r="A440" s="4"/>
      <c r="K440" s="4"/>
      <c r="L440" s="4"/>
      <c r="M440" s="4"/>
      <c r="N440" s="4"/>
      <c r="O440" s="29"/>
      <c r="P440" s="4"/>
      <c r="Q440" s="4"/>
      <c r="R440" s="4"/>
      <c r="T440" s="17"/>
      <c r="V440" s="18"/>
      <c r="W440" s="19"/>
      <c r="X440" s="17"/>
      <c r="AB440" s="23"/>
    </row>
    <row r="441">
      <c r="A441" s="4"/>
      <c r="K441" s="4"/>
      <c r="L441" s="4"/>
      <c r="M441" s="4"/>
      <c r="N441" s="4"/>
      <c r="O441" s="29"/>
      <c r="P441" s="4"/>
      <c r="Q441" s="4"/>
      <c r="R441" s="4"/>
      <c r="T441" s="17"/>
      <c r="V441" s="18"/>
      <c r="W441" s="19"/>
      <c r="X441" s="17"/>
      <c r="AB441" s="23"/>
    </row>
    <row r="442">
      <c r="A442" s="4"/>
      <c r="K442" s="4"/>
      <c r="L442" s="4"/>
      <c r="M442" s="4"/>
      <c r="N442" s="4"/>
      <c r="O442" s="29"/>
      <c r="P442" s="4"/>
      <c r="Q442" s="4"/>
      <c r="R442" s="4"/>
      <c r="T442" s="17"/>
      <c r="V442" s="18"/>
      <c r="W442" s="19"/>
      <c r="X442" s="17"/>
      <c r="AB442" s="23"/>
    </row>
    <row r="443">
      <c r="A443" s="4"/>
      <c r="K443" s="4"/>
      <c r="L443" s="4"/>
      <c r="M443" s="4"/>
      <c r="N443" s="4"/>
      <c r="O443" s="29"/>
      <c r="P443" s="4"/>
      <c r="Q443" s="4"/>
      <c r="R443" s="4"/>
      <c r="T443" s="17"/>
      <c r="V443" s="18"/>
      <c r="W443" s="19"/>
      <c r="X443" s="17"/>
      <c r="AB443" s="23"/>
    </row>
    <row r="444">
      <c r="A444" s="4"/>
      <c r="K444" s="4"/>
      <c r="L444" s="4"/>
      <c r="M444" s="4"/>
      <c r="N444" s="4"/>
      <c r="O444" s="29"/>
      <c r="P444" s="4"/>
      <c r="Q444" s="4"/>
      <c r="R444" s="4"/>
      <c r="T444" s="17"/>
      <c r="V444" s="18"/>
      <c r="W444" s="19"/>
      <c r="X444" s="17"/>
      <c r="AB444" s="23"/>
    </row>
    <row r="445">
      <c r="A445" s="4"/>
      <c r="K445" s="4"/>
      <c r="L445" s="4"/>
      <c r="M445" s="4"/>
      <c r="N445" s="4"/>
      <c r="O445" s="29"/>
      <c r="P445" s="4"/>
      <c r="Q445" s="4"/>
      <c r="R445" s="4"/>
      <c r="T445" s="17"/>
      <c r="V445" s="18"/>
      <c r="W445" s="19"/>
      <c r="X445" s="17"/>
      <c r="AB445" s="23"/>
    </row>
    <row r="446">
      <c r="A446" s="4"/>
      <c r="K446" s="4"/>
      <c r="L446" s="4"/>
      <c r="M446" s="4"/>
      <c r="N446" s="4"/>
      <c r="O446" s="29"/>
      <c r="P446" s="4"/>
      <c r="Q446" s="4"/>
      <c r="R446" s="4"/>
      <c r="T446" s="17"/>
      <c r="V446" s="18"/>
      <c r="W446" s="19"/>
      <c r="X446" s="17"/>
      <c r="AB446" s="23"/>
    </row>
    <row r="447">
      <c r="A447" s="4"/>
      <c r="K447" s="4"/>
      <c r="L447" s="4"/>
      <c r="M447" s="4"/>
      <c r="N447" s="4"/>
      <c r="O447" s="29"/>
      <c r="P447" s="4"/>
      <c r="Q447" s="4"/>
      <c r="R447" s="4"/>
      <c r="T447" s="17"/>
      <c r="V447" s="18"/>
      <c r="W447" s="19"/>
      <c r="X447" s="17"/>
      <c r="AB447" s="23"/>
    </row>
    <row r="448">
      <c r="A448" s="4"/>
      <c r="K448" s="4"/>
      <c r="L448" s="4"/>
      <c r="M448" s="4"/>
      <c r="N448" s="4"/>
      <c r="O448" s="29"/>
      <c r="P448" s="4"/>
      <c r="Q448" s="4"/>
      <c r="R448" s="4"/>
      <c r="T448" s="17"/>
      <c r="V448" s="18"/>
      <c r="W448" s="19"/>
      <c r="X448" s="17"/>
      <c r="AB448" s="23"/>
    </row>
    <row r="449">
      <c r="A449" s="4"/>
      <c r="K449" s="4"/>
      <c r="L449" s="4"/>
      <c r="M449" s="4"/>
      <c r="N449" s="4"/>
      <c r="O449" s="29"/>
      <c r="P449" s="4"/>
      <c r="Q449" s="4"/>
      <c r="R449" s="4"/>
      <c r="T449" s="17"/>
      <c r="V449" s="18"/>
      <c r="W449" s="19"/>
      <c r="X449" s="17"/>
      <c r="AB449" s="23"/>
    </row>
    <row r="450">
      <c r="A450" s="4"/>
      <c r="K450" s="4"/>
      <c r="L450" s="4"/>
      <c r="M450" s="4"/>
      <c r="N450" s="4"/>
      <c r="O450" s="29"/>
      <c r="P450" s="4"/>
      <c r="Q450" s="4"/>
      <c r="R450" s="4"/>
      <c r="T450" s="17"/>
      <c r="V450" s="18"/>
      <c r="W450" s="19"/>
      <c r="X450" s="17"/>
      <c r="AB450" s="23"/>
    </row>
    <row r="451">
      <c r="A451" s="4"/>
      <c r="K451" s="4"/>
      <c r="L451" s="4"/>
      <c r="M451" s="4"/>
      <c r="N451" s="4"/>
      <c r="O451" s="29"/>
      <c r="P451" s="4"/>
      <c r="Q451" s="4"/>
      <c r="R451" s="4"/>
      <c r="T451" s="17"/>
      <c r="V451" s="18"/>
      <c r="W451" s="19"/>
      <c r="X451" s="17"/>
      <c r="AB451" s="23"/>
    </row>
    <row r="452">
      <c r="A452" s="4"/>
      <c r="K452" s="4"/>
      <c r="L452" s="4"/>
      <c r="M452" s="4"/>
      <c r="N452" s="4"/>
      <c r="O452" s="29"/>
      <c r="P452" s="4"/>
      <c r="Q452" s="4"/>
      <c r="R452" s="4"/>
      <c r="T452" s="17"/>
      <c r="V452" s="18"/>
      <c r="W452" s="19"/>
      <c r="X452" s="17"/>
      <c r="AB452" s="23"/>
    </row>
    <row r="453">
      <c r="A453" s="4"/>
      <c r="K453" s="4"/>
      <c r="L453" s="4"/>
      <c r="M453" s="4"/>
      <c r="N453" s="4"/>
      <c r="O453" s="29"/>
      <c r="P453" s="4"/>
      <c r="Q453" s="4"/>
      <c r="R453" s="4"/>
      <c r="T453" s="17"/>
      <c r="V453" s="18"/>
      <c r="W453" s="19"/>
      <c r="X453" s="17"/>
      <c r="AB453" s="23"/>
    </row>
    <row r="454">
      <c r="A454" s="4"/>
      <c r="K454" s="4"/>
      <c r="L454" s="4"/>
      <c r="M454" s="4"/>
      <c r="N454" s="4"/>
      <c r="O454" s="29"/>
      <c r="P454" s="4"/>
      <c r="Q454" s="4"/>
      <c r="R454" s="4"/>
      <c r="T454" s="17"/>
      <c r="V454" s="18"/>
      <c r="W454" s="19"/>
      <c r="X454" s="17"/>
      <c r="AB454" s="23"/>
    </row>
    <row r="455">
      <c r="A455" s="4"/>
      <c r="K455" s="4"/>
      <c r="L455" s="4"/>
      <c r="M455" s="4"/>
      <c r="N455" s="4"/>
      <c r="O455" s="29"/>
      <c r="P455" s="4"/>
      <c r="Q455" s="4"/>
      <c r="R455" s="4"/>
      <c r="T455" s="17"/>
      <c r="V455" s="18"/>
      <c r="W455" s="19"/>
      <c r="X455" s="17"/>
      <c r="AB455" s="23"/>
    </row>
    <row r="456">
      <c r="A456" s="4"/>
      <c r="K456" s="4"/>
      <c r="L456" s="4"/>
      <c r="M456" s="4"/>
      <c r="N456" s="4"/>
      <c r="O456" s="29"/>
      <c r="P456" s="4"/>
      <c r="Q456" s="4"/>
      <c r="R456" s="4"/>
      <c r="T456" s="17"/>
      <c r="V456" s="18"/>
      <c r="W456" s="19"/>
      <c r="X456" s="17"/>
      <c r="AB456" s="23"/>
    </row>
    <row r="457">
      <c r="A457" s="4"/>
      <c r="K457" s="4"/>
      <c r="L457" s="4"/>
      <c r="M457" s="4"/>
      <c r="N457" s="4"/>
      <c r="O457" s="29"/>
      <c r="P457" s="4"/>
      <c r="Q457" s="4"/>
      <c r="R457" s="4"/>
      <c r="T457" s="17"/>
      <c r="V457" s="18"/>
      <c r="W457" s="19"/>
      <c r="X457" s="17"/>
      <c r="AB457" s="23"/>
    </row>
    <row r="458">
      <c r="A458" s="4"/>
      <c r="K458" s="4"/>
      <c r="L458" s="4"/>
      <c r="M458" s="4"/>
      <c r="N458" s="4"/>
      <c r="O458" s="29"/>
      <c r="P458" s="4"/>
      <c r="Q458" s="4"/>
      <c r="R458" s="4"/>
      <c r="T458" s="17"/>
      <c r="V458" s="18"/>
      <c r="W458" s="19"/>
      <c r="X458" s="17"/>
      <c r="AB458" s="23"/>
    </row>
    <row r="459">
      <c r="A459" s="4"/>
      <c r="K459" s="4"/>
      <c r="L459" s="4"/>
      <c r="M459" s="4"/>
      <c r="N459" s="4"/>
      <c r="O459" s="29"/>
      <c r="P459" s="4"/>
      <c r="Q459" s="4"/>
      <c r="R459" s="4"/>
      <c r="T459" s="17"/>
      <c r="V459" s="18"/>
      <c r="W459" s="19"/>
      <c r="X459" s="17"/>
      <c r="AB459" s="23"/>
    </row>
    <row r="460">
      <c r="A460" s="4"/>
      <c r="K460" s="4"/>
      <c r="L460" s="4"/>
      <c r="M460" s="4"/>
      <c r="N460" s="4"/>
      <c r="O460" s="29"/>
      <c r="P460" s="4"/>
      <c r="Q460" s="4"/>
      <c r="R460" s="4"/>
      <c r="T460" s="17"/>
      <c r="V460" s="18"/>
      <c r="W460" s="19"/>
      <c r="X460" s="17"/>
      <c r="AB460" s="23"/>
    </row>
    <row r="461">
      <c r="A461" s="4"/>
      <c r="K461" s="4"/>
      <c r="L461" s="4"/>
      <c r="M461" s="4"/>
      <c r="N461" s="4"/>
      <c r="O461" s="29"/>
      <c r="P461" s="4"/>
      <c r="Q461" s="4"/>
      <c r="R461" s="4"/>
      <c r="T461" s="17"/>
      <c r="V461" s="18"/>
      <c r="W461" s="19"/>
      <c r="X461" s="17"/>
      <c r="AB461" s="23"/>
    </row>
    <row r="462">
      <c r="A462" s="4"/>
      <c r="K462" s="4"/>
      <c r="L462" s="4"/>
      <c r="M462" s="4"/>
      <c r="N462" s="4"/>
      <c r="O462" s="29"/>
      <c r="P462" s="4"/>
      <c r="Q462" s="4"/>
      <c r="R462" s="4"/>
      <c r="T462" s="17"/>
      <c r="V462" s="18"/>
      <c r="W462" s="19"/>
      <c r="X462" s="17"/>
      <c r="AB462" s="23"/>
    </row>
    <row r="463">
      <c r="A463" s="4"/>
      <c r="K463" s="4"/>
      <c r="L463" s="4"/>
      <c r="M463" s="4"/>
      <c r="N463" s="4"/>
      <c r="O463" s="29"/>
      <c r="P463" s="4"/>
      <c r="Q463" s="4"/>
      <c r="R463" s="4"/>
      <c r="T463" s="17"/>
      <c r="V463" s="18"/>
      <c r="W463" s="19"/>
      <c r="X463" s="17"/>
      <c r="AB463" s="23"/>
    </row>
    <row r="464">
      <c r="A464" s="4"/>
      <c r="K464" s="4"/>
      <c r="L464" s="4"/>
      <c r="M464" s="4"/>
      <c r="N464" s="4"/>
      <c r="O464" s="29"/>
      <c r="P464" s="4"/>
      <c r="Q464" s="4"/>
      <c r="R464" s="4"/>
      <c r="T464" s="17"/>
      <c r="V464" s="18"/>
      <c r="W464" s="19"/>
      <c r="X464" s="17"/>
      <c r="AB464" s="23"/>
    </row>
    <row r="465">
      <c r="A465" s="4"/>
      <c r="K465" s="4"/>
      <c r="L465" s="4"/>
      <c r="M465" s="4"/>
      <c r="N465" s="4"/>
      <c r="O465" s="29"/>
      <c r="P465" s="4"/>
      <c r="Q465" s="4"/>
      <c r="R465" s="4"/>
      <c r="T465" s="17"/>
      <c r="V465" s="18"/>
      <c r="W465" s="19"/>
      <c r="X465" s="17"/>
      <c r="AB465" s="23"/>
    </row>
    <row r="466">
      <c r="A466" s="4"/>
      <c r="K466" s="4"/>
      <c r="L466" s="4"/>
      <c r="M466" s="4"/>
      <c r="N466" s="4"/>
      <c r="O466" s="29"/>
      <c r="P466" s="4"/>
      <c r="Q466" s="4"/>
      <c r="R466" s="4"/>
      <c r="T466" s="17"/>
      <c r="V466" s="18"/>
      <c r="W466" s="19"/>
      <c r="X466" s="17"/>
      <c r="AB466" s="23"/>
    </row>
    <row r="467">
      <c r="A467" s="4"/>
      <c r="K467" s="4"/>
      <c r="L467" s="4"/>
      <c r="M467" s="4"/>
      <c r="N467" s="4"/>
      <c r="O467" s="29"/>
      <c r="P467" s="4"/>
      <c r="Q467" s="4"/>
      <c r="R467" s="4"/>
      <c r="T467" s="17"/>
      <c r="V467" s="18"/>
      <c r="W467" s="19"/>
      <c r="X467" s="17"/>
      <c r="AB467" s="23"/>
    </row>
    <row r="468">
      <c r="A468" s="4"/>
      <c r="K468" s="4"/>
      <c r="L468" s="4"/>
      <c r="M468" s="4"/>
      <c r="N468" s="4"/>
      <c r="O468" s="29"/>
      <c r="P468" s="4"/>
      <c r="Q468" s="4"/>
      <c r="R468" s="4"/>
      <c r="T468" s="17"/>
      <c r="V468" s="18"/>
      <c r="W468" s="19"/>
      <c r="X468" s="17"/>
      <c r="AB468" s="23"/>
    </row>
    <row r="469">
      <c r="A469" s="4"/>
      <c r="K469" s="4"/>
      <c r="L469" s="4"/>
      <c r="M469" s="4"/>
      <c r="N469" s="4"/>
      <c r="O469" s="29"/>
      <c r="P469" s="4"/>
      <c r="Q469" s="4"/>
      <c r="R469" s="4"/>
      <c r="T469" s="17"/>
      <c r="V469" s="18"/>
      <c r="W469" s="19"/>
      <c r="X469" s="17"/>
      <c r="AB469" s="23"/>
    </row>
    <row r="470">
      <c r="A470" s="4"/>
      <c r="K470" s="4"/>
      <c r="L470" s="4"/>
      <c r="M470" s="4"/>
      <c r="N470" s="4"/>
      <c r="O470" s="29"/>
      <c r="P470" s="4"/>
      <c r="Q470" s="4"/>
      <c r="R470" s="4"/>
      <c r="T470" s="17"/>
      <c r="V470" s="18"/>
      <c r="W470" s="19"/>
      <c r="X470" s="17"/>
      <c r="AB470" s="23"/>
    </row>
    <row r="471">
      <c r="A471" s="4"/>
      <c r="K471" s="4"/>
      <c r="L471" s="4"/>
      <c r="M471" s="4"/>
      <c r="N471" s="4"/>
      <c r="O471" s="29"/>
      <c r="P471" s="4"/>
      <c r="Q471" s="4"/>
      <c r="R471" s="4"/>
      <c r="T471" s="17"/>
      <c r="V471" s="18"/>
      <c r="W471" s="19"/>
      <c r="X471" s="17"/>
      <c r="AB471" s="23"/>
    </row>
    <row r="472">
      <c r="A472" s="4"/>
      <c r="K472" s="4"/>
      <c r="L472" s="4"/>
      <c r="M472" s="4"/>
      <c r="N472" s="4"/>
      <c r="O472" s="29"/>
      <c r="P472" s="4"/>
      <c r="Q472" s="4"/>
      <c r="R472" s="4"/>
      <c r="T472" s="17"/>
      <c r="V472" s="18"/>
      <c r="W472" s="19"/>
      <c r="X472" s="17"/>
      <c r="AB472" s="23"/>
    </row>
    <row r="473">
      <c r="A473" s="4"/>
      <c r="K473" s="4"/>
      <c r="L473" s="4"/>
      <c r="M473" s="4"/>
      <c r="N473" s="4"/>
      <c r="O473" s="29"/>
      <c r="P473" s="4"/>
      <c r="Q473" s="4"/>
      <c r="R473" s="4"/>
      <c r="T473" s="17"/>
      <c r="V473" s="18"/>
      <c r="W473" s="19"/>
      <c r="X473" s="17"/>
      <c r="AB473" s="23"/>
    </row>
    <row r="474">
      <c r="A474" s="4"/>
      <c r="K474" s="4"/>
      <c r="L474" s="4"/>
      <c r="M474" s="4"/>
      <c r="N474" s="4"/>
      <c r="O474" s="29"/>
      <c r="P474" s="4"/>
      <c r="Q474" s="4"/>
      <c r="R474" s="4"/>
      <c r="T474" s="17"/>
      <c r="V474" s="18"/>
      <c r="W474" s="19"/>
      <c r="X474" s="17"/>
      <c r="AB474" s="23"/>
    </row>
    <row r="475">
      <c r="A475" s="4"/>
      <c r="K475" s="4"/>
      <c r="L475" s="4"/>
      <c r="M475" s="4"/>
      <c r="N475" s="4"/>
      <c r="O475" s="29"/>
      <c r="P475" s="4"/>
      <c r="Q475" s="4"/>
      <c r="R475" s="4"/>
      <c r="T475" s="17"/>
      <c r="V475" s="18"/>
      <c r="W475" s="19"/>
      <c r="X475" s="17"/>
      <c r="AB475" s="23"/>
    </row>
    <row r="476">
      <c r="A476" s="4"/>
      <c r="K476" s="4"/>
      <c r="L476" s="4"/>
      <c r="M476" s="4"/>
      <c r="N476" s="4"/>
      <c r="O476" s="29"/>
      <c r="P476" s="4"/>
      <c r="Q476" s="4"/>
      <c r="R476" s="4"/>
      <c r="T476" s="17"/>
      <c r="V476" s="18"/>
      <c r="W476" s="19"/>
      <c r="X476" s="17"/>
      <c r="AB476" s="23"/>
    </row>
    <row r="477">
      <c r="A477" s="4"/>
      <c r="K477" s="4"/>
      <c r="L477" s="4"/>
      <c r="M477" s="4"/>
      <c r="N477" s="4"/>
      <c r="O477" s="29"/>
      <c r="P477" s="4"/>
      <c r="Q477" s="4"/>
      <c r="R477" s="4"/>
      <c r="T477" s="17"/>
      <c r="V477" s="18"/>
      <c r="W477" s="19"/>
      <c r="X477" s="17"/>
      <c r="AB477" s="23"/>
    </row>
    <row r="478">
      <c r="A478" s="4"/>
      <c r="K478" s="4"/>
      <c r="L478" s="4"/>
      <c r="M478" s="4"/>
      <c r="N478" s="4"/>
      <c r="O478" s="29"/>
      <c r="P478" s="4"/>
      <c r="Q478" s="4"/>
      <c r="R478" s="4"/>
      <c r="T478" s="17"/>
      <c r="V478" s="18"/>
      <c r="W478" s="19"/>
      <c r="X478" s="17"/>
      <c r="AB478" s="23"/>
    </row>
    <row r="479">
      <c r="A479" s="4"/>
      <c r="K479" s="4"/>
      <c r="L479" s="4"/>
      <c r="M479" s="4"/>
      <c r="N479" s="4"/>
      <c r="O479" s="29"/>
      <c r="P479" s="4"/>
      <c r="Q479" s="4"/>
      <c r="R479" s="4"/>
      <c r="T479" s="17"/>
      <c r="V479" s="18"/>
      <c r="W479" s="19"/>
      <c r="X479" s="17"/>
      <c r="AB479" s="23"/>
    </row>
    <row r="480">
      <c r="A480" s="4"/>
      <c r="K480" s="4"/>
      <c r="L480" s="4"/>
      <c r="M480" s="4"/>
      <c r="N480" s="4"/>
      <c r="O480" s="29"/>
      <c r="P480" s="4"/>
      <c r="Q480" s="4"/>
      <c r="R480" s="4"/>
      <c r="T480" s="17"/>
      <c r="V480" s="18"/>
      <c r="W480" s="19"/>
      <c r="X480" s="17"/>
      <c r="AB480" s="23"/>
    </row>
    <row r="481">
      <c r="A481" s="4"/>
      <c r="K481" s="4"/>
      <c r="L481" s="4"/>
      <c r="M481" s="4"/>
      <c r="N481" s="4"/>
      <c r="O481" s="29"/>
      <c r="P481" s="4"/>
      <c r="Q481" s="4"/>
      <c r="R481" s="4"/>
      <c r="T481" s="17"/>
      <c r="V481" s="18"/>
      <c r="W481" s="19"/>
      <c r="X481" s="17"/>
      <c r="AB481" s="23"/>
    </row>
    <row r="482">
      <c r="A482" s="4"/>
      <c r="K482" s="4"/>
      <c r="L482" s="4"/>
      <c r="M482" s="4"/>
      <c r="N482" s="4"/>
      <c r="O482" s="29"/>
      <c r="P482" s="4"/>
      <c r="Q482" s="4"/>
      <c r="R482" s="4"/>
      <c r="T482" s="17"/>
      <c r="V482" s="18"/>
      <c r="W482" s="19"/>
      <c r="X482" s="17"/>
      <c r="AB482" s="23"/>
    </row>
    <row r="483">
      <c r="A483" s="4"/>
      <c r="K483" s="4"/>
      <c r="L483" s="4"/>
      <c r="M483" s="4"/>
      <c r="N483" s="4"/>
      <c r="O483" s="29"/>
      <c r="P483" s="4"/>
      <c r="Q483" s="4"/>
      <c r="R483" s="4"/>
      <c r="T483" s="17"/>
      <c r="V483" s="18"/>
      <c r="W483" s="19"/>
      <c r="X483" s="17"/>
      <c r="AB483" s="23"/>
    </row>
    <row r="484">
      <c r="A484" s="4"/>
      <c r="K484" s="4"/>
      <c r="L484" s="4"/>
      <c r="M484" s="4"/>
      <c r="N484" s="4"/>
      <c r="O484" s="29"/>
      <c r="P484" s="4"/>
      <c r="Q484" s="4"/>
      <c r="R484" s="4"/>
      <c r="T484" s="17"/>
      <c r="V484" s="18"/>
      <c r="W484" s="19"/>
      <c r="X484" s="17"/>
      <c r="AB484" s="23"/>
    </row>
    <row r="485">
      <c r="A485" s="4"/>
      <c r="K485" s="4"/>
      <c r="L485" s="4"/>
      <c r="M485" s="4"/>
      <c r="N485" s="4"/>
      <c r="O485" s="29"/>
      <c r="P485" s="4"/>
      <c r="Q485" s="4"/>
      <c r="R485" s="4"/>
      <c r="T485" s="17"/>
      <c r="V485" s="18"/>
      <c r="W485" s="19"/>
      <c r="X485" s="17"/>
      <c r="AB485" s="23"/>
    </row>
    <row r="486">
      <c r="A486" s="4"/>
      <c r="K486" s="4"/>
      <c r="L486" s="4"/>
      <c r="M486" s="4"/>
      <c r="N486" s="4"/>
      <c r="O486" s="29"/>
      <c r="P486" s="4"/>
      <c r="Q486" s="4"/>
      <c r="R486" s="4"/>
      <c r="T486" s="17"/>
      <c r="V486" s="18"/>
      <c r="W486" s="19"/>
      <c r="X486" s="17"/>
      <c r="AB486" s="23"/>
    </row>
    <row r="487">
      <c r="A487" s="4"/>
      <c r="K487" s="4"/>
      <c r="L487" s="4"/>
      <c r="M487" s="4"/>
      <c r="N487" s="4"/>
      <c r="O487" s="29"/>
      <c r="P487" s="4"/>
      <c r="Q487" s="4"/>
      <c r="R487" s="4"/>
      <c r="T487" s="17"/>
      <c r="V487" s="18"/>
      <c r="W487" s="19"/>
      <c r="X487" s="17"/>
      <c r="AB487" s="23"/>
    </row>
    <row r="488">
      <c r="A488" s="4"/>
      <c r="K488" s="4"/>
      <c r="L488" s="4"/>
      <c r="M488" s="4"/>
      <c r="N488" s="4"/>
      <c r="O488" s="29"/>
      <c r="P488" s="4"/>
      <c r="Q488" s="4"/>
      <c r="R488" s="4"/>
      <c r="T488" s="17"/>
      <c r="V488" s="18"/>
      <c r="W488" s="19"/>
      <c r="X488" s="17"/>
      <c r="AB488" s="23"/>
    </row>
    <row r="489">
      <c r="A489" s="4"/>
      <c r="K489" s="4"/>
      <c r="L489" s="4"/>
      <c r="M489" s="4"/>
      <c r="N489" s="4"/>
      <c r="O489" s="29"/>
      <c r="P489" s="4"/>
      <c r="Q489" s="4"/>
      <c r="R489" s="4"/>
      <c r="T489" s="17"/>
      <c r="V489" s="18"/>
      <c r="W489" s="19"/>
      <c r="X489" s="17"/>
      <c r="AB489" s="23"/>
    </row>
    <row r="490">
      <c r="A490" s="4"/>
      <c r="K490" s="4"/>
      <c r="L490" s="4"/>
      <c r="M490" s="4"/>
      <c r="N490" s="4"/>
      <c r="O490" s="29"/>
      <c r="P490" s="4"/>
      <c r="Q490" s="4"/>
      <c r="R490" s="4"/>
      <c r="T490" s="17"/>
      <c r="V490" s="18"/>
      <c r="W490" s="19"/>
      <c r="X490" s="17"/>
      <c r="AB490" s="23"/>
    </row>
    <row r="491">
      <c r="A491" s="4"/>
      <c r="K491" s="4"/>
      <c r="L491" s="4"/>
      <c r="M491" s="4"/>
      <c r="N491" s="4"/>
      <c r="O491" s="29"/>
      <c r="P491" s="4"/>
      <c r="Q491" s="4"/>
      <c r="R491" s="4"/>
      <c r="T491" s="17"/>
      <c r="V491" s="18"/>
      <c r="W491" s="19"/>
      <c r="X491" s="17"/>
      <c r="AB491" s="23"/>
    </row>
    <row r="492">
      <c r="A492" s="4"/>
      <c r="K492" s="4"/>
      <c r="L492" s="4"/>
      <c r="M492" s="4"/>
      <c r="N492" s="4"/>
      <c r="O492" s="29"/>
      <c r="P492" s="4"/>
      <c r="Q492" s="4"/>
      <c r="R492" s="4"/>
      <c r="T492" s="17"/>
      <c r="V492" s="18"/>
      <c r="W492" s="19"/>
      <c r="X492" s="17"/>
      <c r="AB492" s="23"/>
    </row>
    <row r="493">
      <c r="A493" s="4"/>
      <c r="K493" s="4"/>
      <c r="L493" s="4"/>
      <c r="M493" s="4"/>
      <c r="N493" s="4"/>
      <c r="O493" s="29"/>
      <c r="P493" s="4"/>
      <c r="Q493" s="4"/>
      <c r="R493" s="4"/>
      <c r="T493" s="17"/>
      <c r="V493" s="18"/>
      <c r="W493" s="19"/>
      <c r="X493" s="17"/>
      <c r="AB493" s="23"/>
    </row>
    <row r="494">
      <c r="A494" s="4"/>
      <c r="K494" s="4"/>
      <c r="L494" s="4"/>
      <c r="M494" s="4"/>
      <c r="N494" s="4"/>
      <c r="O494" s="29"/>
      <c r="P494" s="4"/>
      <c r="Q494" s="4"/>
      <c r="R494" s="4"/>
      <c r="T494" s="17"/>
      <c r="V494" s="18"/>
      <c r="W494" s="19"/>
      <c r="X494" s="17"/>
      <c r="AB494" s="23"/>
    </row>
    <row r="495">
      <c r="A495" s="4"/>
      <c r="K495" s="4"/>
      <c r="L495" s="4"/>
      <c r="M495" s="4"/>
      <c r="N495" s="4"/>
      <c r="O495" s="29"/>
      <c r="P495" s="4"/>
      <c r="Q495" s="4"/>
      <c r="R495" s="4"/>
      <c r="T495" s="17"/>
      <c r="V495" s="18"/>
      <c r="W495" s="19"/>
      <c r="X495" s="17"/>
      <c r="AB495" s="23"/>
    </row>
    <row r="496">
      <c r="A496" s="4"/>
      <c r="K496" s="4"/>
      <c r="L496" s="4"/>
      <c r="M496" s="4"/>
      <c r="N496" s="4"/>
      <c r="O496" s="29"/>
      <c r="P496" s="4"/>
      <c r="Q496" s="4"/>
      <c r="R496" s="4"/>
      <c r="T496" s="17"/>
      <c r="V496" s="18"/>
      <c r="W496" s="19"/>
      <c r="X496" s="17"/>
      <c r="AB496" s="23"/>
    </row>
    <row r="497">
      <c r="A497" s="4"/>
      <c r="K497" s="4"/>
      <c r="L497" s="4"/>
      <c r="M497" s="4"/>
      <c r="N497" s="4"/>
      <c r="O497" s="29"/>
      <c r="P497" s="4"/>
      <c r="Q497" s="4"/>
      <c r="R497" s="4"/>
      <c r="T497" s="17"/>
      <c r="V497" s="18"/>
      <c r="W497" s="19"/>
      <c r="X497" s="17"/>
      <c r="AB497" s="23"/>
    </row>
    <row r="498">
      <c r="A498" s="4"/>
      <c r="K498" s="4"/>
      <c r="L498" s="4"/>
      <c r="M498" s="4"/>
      <c r="N498" s="4"/>
      <c r="O498" s="29"/>
      <c r="P498" s="4"/>
      <c r="Q498" s="4"/>
      <c r="R498" s="4"/>
      <c r="T498" s="17"/>
      <c r="V498" s="18"/>
      <c r="W498" s="19"/>
      <c r="X498" s="17"/>
      <c r="AB498" s="23"/>
    </row>
    <row r="499">
      <c r="A499" s="4"/>
      <c r="K499" s="4"/>
      <c r="L499" s="4"/>
      <c r="M499" s="4"/>
      <c r="N499" s="4"/>
      <c r="O499" s="29"/>
      <c r="P499" s="4"/>
      <c r="Q499" s="4"/>
      <c r="R499" s="4"/>
      <c r="T499" s="17"/>
      <c r="V499" s="18"/>
      <c r="W499" s="19"/>
      <c r="X499" s="17"/>
      <c r="AB499" s="23"/>
    </row>
    <row r="500">
      <c r="A500" s="4"/>
      <c r="K500" s="4"/>
      <c r="L500" s="4"/>
      <c r="M500" s="4"/>
      <c r="N500" s="4"/>
      <c r="O500" s="29"/>
      <c r="P500" s="4"/>
      <c r="Q500" s="4"/>
      <c r="R500" s="4"/>
      <c r="T500" s="17"/>
      <c r="V500" s="18"/>
      <c r="W500" s="19"/>
      <c r="X500" s="17"/>
      <c r="AB500" s="23"/>
    </row>
    <row r="501">
      <c r="A501" s="4"/>
      <c r="K501" s="4"/>
      <c r="L501" s="4"/>
      <c r="M501" s="4"/>
      <c r="N501" s="4"/>
      <c r="O501" s="29"/>
      <c r="P501" s="4"/>
      <c r="Q501" s="4"/>
      <c r="R501" s="4"/>
      <c r="T501" s="17"/>
      <c r="V501" s="18"/>
      <c r="W501" s="19"/>
      <c r="X501" s="17"/>
      <c r="AB501" s="23"/>
    </row>
    <row r="502">
      <c r="A502" s="4"/>
      <c r="K502" s="4"/>
      <c r="L502" s="4"/>
      <c r="M502" s="4"/>
      <c r="N502" s="4"/>
      <c r="O502" s="29"/>
      <c r="P502" s="4"/>
      <c r="Q502" s="4"/>
      <c r="R502" s="4"/>
      <c r="T502" s="17"/>
      <c r="V502" s="18"/>
      <c r="W502" s="19"/>
      <c r="X502" s="17"/>
      <c r="AB502" s="23"/>
    </row>
    <row r="503">
      <c r="A503" s="4"/>
      <c r="K503" s="4"/>
      <c r="L503" s="4"/>
      <c r="M503" s="4"/>
      <c r="N503" s="4"/>
      <c r="O503" s="29"/>
      <c r="P503" s="4"/>
      <c r="Q503" s="4"/>
      <c r="R503" s="4"/>
      <c r="T503" s="17"/>
      <c r="V503" s="18"/>
      <c r="W503" s="19"/>
      <c r="X503" s="17"/>
      <c r="AB503" s="23"/>
    </row>
    <row r="504">
      <c r="A504" s="4"/>
      <c r="K504" s="4"/>
      <c r="L504" s="4"/>
      <c r="M504" s="4"/>
      <c r="N504" s="4"/>
      <c r="O504" s="29"/>
      <c r="P504" s="4"/>
      <c r="Q504" s="4"/>
      <c r="R504" s="4"/>
      <c r="T504" s="17"/>
      <c r="V504" s="18"/>
      <c r="W504" s="19"/>
      <c r="X504" s="17"/>
      <c r="AB504" s="23"/>
    </row>
    <row r="505">
      <c r="A505" s="4"/>
      <c r="K505" s="4"/>
      <c r="L505" s="4"/>
      <c r="M505" s="4"/>
      <c r="N505" s="4"/>
      <c r="O505" s="29"/>
      <c r="P505" s="4"/>
      <c r="Q505" s="4"/>
      <c r="R505" s="4"/>
      <c r="T505" s="17"/>
      <c r="V505" s="18"/>
      <c r="W505" s="19"/>
      <c r="X505" s="17"/>
      <c r="AB505" s="23"/>
    </row>
    <row r="506">
      <c r="A506" s="4"/>
      <c r="K506" s="4"/>
      <c r="L506" s="4"/>
      <c r="M506" s="4"/>
      <c r="N506" s="4"/>
      <c r="O506" s="29"/>
      <c r="P506" s="4"/>
      <c r="Q506" s="4"/>
      <c r="R506" s="4"/>
      <c r="T506" s="17"/>
      <c r="V506" s="18"/>
      <c r="W506" s="19"/>
      <c r="X506" s="17"/>
      <c r="AB506" s="23"/>
    </row>
    <row r="507">
      <c r="A507" s="4"/>
      <c r="K507" s="4"/>
      <c r="L507" s="4"/>
      <c r="M507" s="4"/>
      <c r="N507" s="4"/>
      <c r="O507" s="29"/>
      <c r="P507" s="4"/>
      <c r="Q507" s="4"/>
      <c r="R507" s="4"/>
      <c r="T507" s="17"/>
      <c r="V507" s="18"/>
      <c r="W507" s="19"/>
      <c r="X507" s="17"/>
      <c r="AB507" s="23"/>
    </row>
    <row r="508">
      <c r="A508" s="4"/>
      <c r="K508" s="4"/>
      <c r="L508" s="4"/>
      <c r="M508" s="4"/>
      <c r="N508" s="4"/>
      <c r="O508" s="29"/>
      <c r="P508" s="4"/>
      <c r="Q508" s="4"/>
      <c r="R508" s="4"/>
      <c r="T508" s="17"/>
      <c r="V508" s="18"/>
      <c r="W508" s="19"/>
      <c r="X508" s="17"/>
      <c r="AB508" s="23"/>
    </row>
    <row r="509">
      <c r="A509" s="4"/>
      <c r="K509" s="4"/>
      <c r="L509" s="4"/>
      <c r="M509" s="4"/>
      <c r="N509" s="4"/>
      <c r="O509" s="29"/>
      <c r="P509" s="4"/>
      <c r="Q509" s="4"/>
      <c r="R509" s="4"/>
      <c r="T509" s="17"/>
      <c r="V509" s="18"/>
      <c r="W509" s="19"/>
      <c r="X509" s="17"/>
      <c r="AB509" s="23"/>
    </row>
    <row r="510">
      <c r="A510" s="4"/>
      <c r="K510" s="4"/>
      <c r="L510" s="4"/>
      <c r="M510" s="4"/>
      <c r="N510" s="4"/>
      <c r="O510" s="29"/>
      <c r="P510" s="4"/>
      <c r="Q510" s="4"/>
      <c r="R510" s="4"/>
      <c r="T510" s="17"/>
      <c r="V510" s="18"/>
      <c r="W510" s="19"/>
      <c r="X510" s="17"/>
      <c r="AB510" s="23"/>
    </row>
    <row r="511">
      <c r="A511" s="4"/>
      <c r="K511" s="4"/>
      <c r="L511" s="4"/>
      <c r="M511" s="4"/>
      <c r="N511" s="4"/>
      <c r="O511" s="29"/>
      <c r="P511" s="4"/>
      <c r="Q511" s="4"/>
      <c r="R511" s="4"/>
      <c r="T511" s="17"/>
      <c r="V511" s="18"/>
      <c r="W511" s="19"/>
      <c r="X511" s="17"/>
      <c r="AB511" s="23"/>
    </row>
    <row r="512">
      <c r="A512" s="4"/>
      <c r="K512" s="4"/>
      <c r="L512" s="4"/>
      <c r="M512" s="4"/>
      <c r="N512" s="4"/>
      <c r="O512" s="29"/>
      <c r="P512" s="4"/>
      <c r="Q512" s="4"/>
      <c r="R512" s="4"/>
      <c r="T512" s="17"/>
      <c r="V512" s="18"/>
      <c r="W512" s="19"/>
      <c r="X512" s="17"/>
      <c r="AB512" s="23"/>
    </row>
    <row r="513">
      <c r="A513" s="4"/>
      <c r="K513" s="4"/>
      <c r="L513" s="4"/>
      <c r="M513" s="4"/>
      <c r="N513" s="4"/>
      <c r="O513" s="29"/>
      <c r="P513" s="4"/>
      <c r="Q513" s="4"/>
      <c r="R513" s="4"/>
      <c r="T513" s="17"/>
      <c r="V513" s="18"/>
      <c r="W513" s="19"/>
      <c r="X513" s="17"/>
      <c r="AB513" s="23"/>
    </row>
    <row r="514">
      <c r="A514" s="4"/>
      <c r="K514" s="4"/>
      <c r="L514" s="4"/>
      <c r="M514" s="4"/>
      <c r="N514" s="4"/>
      <c r="O514" s="29"/>
      <c r="P514" s="4"/>
      <c r="Q514" s="4"/>
      <c r="R514" s="4"/>
      <c r="T514" s="17"/>
      <c r="V514" s="18"/>
      <c r="W514" s="19"/>
      <c r="X514" s="17"/>
      <c r="AB514" s="23"/>
    </row>
    <row r="515">
      <c r="A515" s="4"/>
      <c r="K515" s="4"/>
      <c r="L515" s="4"/>
      <c r="M515" s="4"/>
      <c r="N515" s="4"/>
      <c r="O515" s="29"/>
      <c r="P515" s="4"/>
      <c r="Q515" s="4"/>
      <c r="R515" s="4"/>
      <c r="T515" s="17"/>
      <c r="V515" s="18"/>
      <c r="W515" s="19"/>
      <c r="X515" s="17"/>
      <c r="AB515" s="23"/>
    </row>
    <row r="516">
      <c r="A516" s="4"/>
      <c r="K516" s="4"/>
      <c r="L516" s="4"/>
      <c r="M516" s="4"/>
      <c r="N516" s="4"/>
      <c r="O516" s="29"/>
      <c r="P516" s="4"/>
      <c r="Q516" s="4"/>
      <c r="R516" s="4"/>
      <c r="T516" s="17"/>
      <c r="V516" s="18"/>
      <c r="W516" s="19"/>
      <c r="X516" s="17"/>
      <c r="AB516" s="23"/>
    </row>
    <row r="517">
      <c r="A517" s="4"/>
      <c r="K517" s="4"/>
      <c r="L517" s="4"/>
      <c r="M517" s="4"/>
      <c r="N517" s="4"/>
      <c r="O517" s="29"/>
      <c r="P517" s="4"/>
      <c r="Q517" s="4"/>
      <c r="R517" s="4"/>
      <c r="T517" s="17"/>
      <c r="V517" s="18"/>
      <c r="W517" s="19"/>
      <c r="X517" s="17"/>
      <c r="AB517" s="23"/>
    </row>
    <row r="518">
      <c r="A518" s="4"/>
      <c r="K518" s="4"/>
      <c r="L518" s="4"/>
      <c r="M518" s="4"/>
      <c r="N518" s="4"/>
      <c r="O518" s="29"/>
      <c r="P518" s="4"/>
      <c r="Q518" s="4"/>
      <c r="R518" s="4"/>
      <c r="T518" s="17"/>
      <c r="V518" s="18"/>
      <c r="W518" s="19"/>
      <c r="X518" s="17"/>
      <c r="AB518" s="23"/>
    </row>
    <row r="519">
      <c r="A519" s="4"/>
      <c r="K519" s="4"/>
      <c r="L519" s="4"/>
      <c r="M519" s="4"/>
      <c r="N519" s="4"/>
      <c r="O519" s="29"/>
      <c r="P519" s="4"/>
      <c r="Q519" s="4"/>
      <c r="R519" s="4"/>
      <c r="T519" s="17"/>
      <c r="V519" s="18"/>
      <c r="W519" s="19"/>
      <c r="X519" s="17"/>
      <c r="AB519" s="23"/>
    </row>
    <row r="520">
      <c r="A520" s="4"/>
      <c r="K520" s="4"/>
      <c r="L520" s="4"/>
      <c r="M520" s="4"/>
      <c r="N520" s="4"/>
      <c r="O520" s="29"/>
      <c r="P520" s="4"/>
      <c r="Q520" s="4"/>
      <c r="R520" s="4"/>
      <c r="T520" s="17"/>
      <c r="V520" s="18"/>
      <c r="W520" s="19"/>
      <c r="X520" s="17"/>
      <c r="AB520" s="23"/>
    </row>
    <row r="521">
      <c r="A521" s="4"/>
      <c r="K521" s="4"/>
      <c r="L521" s="4"/>
      <c r="M521" s="4"/>
      <c r="N521" s="4"/>
      <c r="O521" s="29"/>
      <c r="P521" s="4"/>
      <c r="Q521" s="4"/>
      <c r="R521" s="4"/>
      <c r="T521" s="17"/>
      <c r="V521" s="18"/>
      <c r="W521" s="19"/>
      <c r="X521" s="17"/>
      <c r="AB521" s="23"/>
    </row>
    <row r="522">
      <c r="A522" s="4"/>
      <c r="K522" s="4"/>
      <c r="L522" s="4"/>
      <c r="M522" s="4"/>
      <c r="N522" s="4"/>
      <c r="O522" s="29"/>
      <c r="P522" s="4"/>
      <c r="Q522" s="4"/>
      <c r="R522" s="4"/>
      <c r="T522" s="17"/>
      <c r="V522" s="18"/>
      <c r="W522" s="19"/>
      <c r="X522" s="17"/>
      <c r="AB522" s="23"/>
    </row>
    <row r="523">
      <c r="A523" s="4"/>
      <c r="K523" s="4"/>
      <c r="L523" s="4"/>
      <c r="M523" s="4"/>
      <c r="N523" s="4"/>
      <c r="O523" s="29"/>
      <c r="P523" s="4"/>
      <c r="Q523" s="4"/>
      <c r="R523" s="4"/>
      <c r="T523" s="17"/>
      <c r="V523" s="18"/>
      <c r="W523" s="19"/>
      <c r="X523" s="17"/>
      <c r="AB523" s="23"/>
    </row>
    <row r="524">
      <c r="A524" s="4"/>
      <c r="K524" s="4"/>
      <c r="L524" s="4"/>
      <c r="M524" s="4"/>
      <c r="N524" s="4"/>
      <c r="O524" s="29"/>
      <c r="P524" s="4"/>
      <c r="Q524" s="4"/>
      <c r="R524" s="4"/>
      <c r="T524" s="17"/>
      <c r="V524" s="18"/>
      <c r="W524" s="19"/>
      <c r="X524" s="17"/>
      <c r="AB524" s="23"/>
    </row>
    <row r="525">
      <c r="A525" s="4"/>
      <c r="K525" s="4"/>
      <c r="L525" s="4"/>
      <c r="M525" s="4"/>
      <c r="N525" s="4"/>
      <c r="O525" s="29"/>
      <c r="P525" s="4"/>
      <c r="Q525" s="4"/>
      <c r="R525" s="4"/>
      <c r="T525" s="17"/>
      <c r="V525" s="18"/>
      <c r="W525" s="19"/>
      <c r="X525" s="17"/>
      <c r="AB525" s="23"/>
    </row>
    <row r="526">
      <c r="A526" s="4"/>
      <c r="K526" s="4"/>
      <c r="L526" s="4"/>
      <c r="M526" s="4"/>
      <c r="N526" s="4"/>
      <c r="O526" s="29"/>
      <c r="P526" s="4"/>
      <c r="Q526" s="4"/>
      <c r="R526" s="4"/>
      <c r="T526" s="17"/>
      <c r="V526" s="18"/>
      <c r="W526" s="19"/>
      <c r="X526" s="17"/>
      <c r="AB526" s="23"/>
    </row>
    <row r="527">
      <c r="A527" s="4"/>
      <c r="K527" s="4"/>
      <c r="L527" s="4"/>
      <c r="M527" s="4"/>
      <c r="N527" s="4"/>
      <c r="O527" s="29"/>
      <c r="P527" s="4"/>
      <c r="Q527" s="4"/>
      <c r="R527" s="4"/>
      <c r="T527" s="17"/>
      <c r="V527" s="18"/>
      <c r="W527" s="19"/>
      <c r="X527" s="17"/>
      <c r="AB527" s="23"/>
    </row>
    <row r="528">
      <c r="A528" s="4"/>
      <c r="K528" s="4"/>
      <c r="L528" s="4"/>
      <c r="M528" s="4"/>
      <c r="N528" s="4"/>
      <c r="O528" s="29"/>
      <c r="P528" s="4"/>
      <c r="Q528" s="4"/>
      <c r="R528" s="4"/>
      <c r="T528" s="17"/>
      <c r="V528" s="18"/>
      <c r="W528" s="19"/>
      <c r="X528" s="17"/>
      <c r="AB528" s="23"/>
    </row>
    <row r="529">
      <c r="A529" s="4"/>
      <c r="K529" s="4"/>
      <c r="L529" s="4"/>
      <c r="M529" s="4"/>
      <c r="N529" s="4"/>
      <c r="O529" s="29"/>
      <c r="P529" s="4"/>
      <c r="Q529" s="4"/>
      <c r="R529" s="4"/>
      <c r="T529" s="17"/>
      <c r="V529" s="18"/>
      <c r="W529" s="19"/>
      <c r="X529" s="17"/>
      <c r="AB529" s="23"/>
    </row>
    <row r="530">
      <c r="A530" s="4"/>
      <c r="K530" s="4"/>
      <c r="L530" s="4"/>
      <c r="M530" s="4"/>
      <c r="N530" s="4"/>
      <c r="O530" s="29"/>
      <c r="P530" s="4"/>
      <c r="Q530" s="4"/>
      <c r="R530" s="4"/>
      <c r="T530" s="17"/>
      <c r="V530" s="18"/>
      <c r="W530" s="19"/>
      <c r="X530" s="17"/>
      <c r="AB530" s="23"/>
    </row>
    <row r="531">
      <c r="A531" s="4"/>
      <c r="K531" s="4"/>
      <c r="L531" s="4"/>
      <c r="M531" s="4"/>
      <c r="N531" s="4"/>
      <c r="O531" s="29"/>
      <c r="P531" s="4"/>
      <c r="Q531" s="4"/>
      <c r="R531" s="4"/>
      <c r="T531" s="17"/>
      <c r="V531" s="18"/>
      <c r="W531" s="19"/>
      <c r="X531" s="17"/>
      <c r="AB531" s="23"/>
    </row>
    <row r="532">
      <c r="A532" s="4"/>
      <c r="K532" s="4"/>
      <c r="L532" s="4"/>
      <c r="M532" s="4"/>
      <c r="N532" s="4"/>
      <c r="O532" s="29"/>
      <c r="P532" s="4"/>
      <c r="Q532" s="4"/>
      <c r="R532" s="4"/>
      <c r="T532" s="17"/>
      <c r="V532" s="18"/>
      <c r="W532" s="19"/>
      <c r="X532" s="17"/>
      <c r="AB532" s="23"/>
    </row>
    <row r="533">
      <c r="A533" s="4"/>
      <c r="K533" s="4"/>
      <c r="L533" s="4"/>
      <c r="M533" s="4"/>
      <c r="N533" s="4"/>
      <c r="O533" s="29"/>
      <c r="P533" s="4"/>
      <c r="Q533" s="4"/>
      <c r="R533" s="4"/>
      <c r="T533" s="17"/>
      <c r="V533" s="18"/>
      <c r="W533" s="19"/>
      <c r="X533" s="17"/>
      <c r="AB533" s="23"/>
    </row>
    <row r="534">
      <c r="A534" s="4"/>
      <c r="K534" s="4"/>
      <c r="L534" s="4"/>
      <c r="M534" s="4"/>
      <c r="N534" s="4"/>
      <c r="O534" s="29"/>
      <c r="P534" s="4"/>
      <c r="Q534" s="4"/>
      <c r="R534" s="4"/>
      <c r="T534" s="17"/>
      <c r="V534" s="18"/>
      <c r="W534" s="19"/>
      <c r="X534" s="17"/>
      <c r="AB534" s="23"/>
    </row>
    <row r="535">
      <c r="A535" s="4"/>
      <c r="K535" s="4"/>
      <c r="L535" s="4"/>
      <c r="M535" s="4"/>
      <c r="N535" s="4"/>
      <c r="O535" s="29"/>
      <c r="P535" s="4"/>
      <c r="Q535" s="4"/>
      <c r="R535" s="4"/>
      <c r="T535" s="17"/>
      <c r="V535" s="18"/>
      <c r="W535" s="19"/>
      <c r="X535" s="17"/>
      <c r="AB535" s="23"/>
    </row>
    <row r="536">
      <c r="A536" s="4"/>
      <c r="K536" s="4"/>
      <c r="L536" s="4"/>
      <c r="M536" s="4"/>
      <c r="N536" s="4"/>
      <c r="O536" s="29"/>
      <c r="P536" s="4"/>
      <c r="Q536" s="4"/>
      <c r="R536" s="4"/>
      <c r="T536" s="17"/>
      <c r="V536" s="18"/>
      <c r="W536" s="19"/>
      <c r="X536" s="17"/>
      <c r="AB536" s="23"/>
    </row>
    <row r="537">
      <c r="A537" s="4"/>
      <c r="K537" s="4"/>
      <c r="L537" s="4"/>
      <c r="M537" s="4"/>
      <c r="N537" s="4"/>
      <c r="O537" s="29"/>
      <c r="P537" s="4"/>
      <c r="Q537" s="4"/>
      <c r="R537" s="4"/>
      <c r="T537" s="17"/>
      <c r="V537" s="18"/>
      <c r="W537" s="19"/>
      <c r="X537" s="17"/>
      <c r="AB537" s="23"/>
    </row>
    <row r="538">
      <c r="A538" s="4"/>
      <c r="K538" s="4"/>
      <c r="L538" s="4"/>
      <c r="M538" s="4"/>
      <c r="N538" s="4"/>
      <c r="O538" s="29"/>
      <c r="P538" s="4"/>
      <c r="Q538" s="4"/>
      <c r="R538" s="4"/>
      <c r="T538" s="17"/>
      <c r="V538" s="18"/>
      <c r="W538" s="19"/>
      <c r="X538" s="17"/>
      <c r="AB538" s="23"/>
    </row>
    <row r="539">
      <c r="A539" s="4"/>
      <c r="K539" s="4"/>
      <c r="L539" s="4"/>
      <c r="M539" s="4"/>
      <c r="N539" s="4"/>
      <c r="O539" s="29"/>
      <c r="P539" s="4"/>
      <c r="Q539" s="4"/>
      <c r="R539" s="4"/>
      <c r="T539" s="17"/>
      <c r="V539" s="18"/>
      <c r="W539" s="19"/>
      <c r="X539" s="17"/>
      <c r="AB539" s="23"/>
    </row>
    <row r="540">
      <c r="A540" s="4"/>
      <c r="K540" s="4"/>
      <c r="L540" s="4"/>
      <c r="M540" s="4"/>
      <c r="N540" s="4"/>
      <c r="O540" s="29"/>
      <c r="P540" s="4"/>
      <c r="Q540" s="4"/>
      <c r="R540" s="4"/>
      <c r="T540" s="17"/>
      <c r="V540" s="18"/>
      <c r="W540" s="19"/>
      <c r="X540" s="17"/>
      <c r="AB540" s="23"/>
    </row>
    <row r="541">
      <c r="A541" s="4"/>
      <c r="K541" s="4"/>
      <c r="L541" s="4"/>
      <c r="M541" s="4"/>
      <c r="N541" s="4"/>
      <c r="O541" s="29"/>
      <c r="P541" s="4"/>
      <c r="Q541" s="4"/>
      <c r="R541" s="4"/>
      <c r="T541" s="17"/>
      <c r="V541" s="18"/>
      <c r="W541" s="19"/>
      <c r="X541" s="17"/>
      <c r="AB541" s="23"/>
    </row>
    <row r="542">
      <c r="A542" s="4"/>
      <c r="K542" s="4"/>
      <c r="L542" s="4"/>
      <c r="M542" s="4"/>
      <c r="N542" s="4"/>
      <c r="O542" s="29"/>
      <c r="P542" s="4"/>
      <c r="Q542" s="4"/>
      <c r="R542" s="4"/>
      <c r="T542" s="17"/>
      <c r="V542" s="18"/>
      <c r="W542" s="19"/>
      <c r="X542" s="17"/>
      <c r="AB542" s="23"/>
    </row>
    <row r="543">
      <c r="A543" s="4"/>
      <c r="K543" s="4"/>
      <c r="L543" s="4"/>
      <c r="M543" s="4"/>
      <c r="N543" s="4"/>
      <c r="O543" s="29"/>
      <c r="P543" s="4"/>
      <c r="Q543" s="4"/>
      <c r="R543" s="4"/>
      <c r="T543" s="17"/>
      <c r="V543" s="18"/>
      <c r="W543" s="19"/>
      <c r="X543" s="17"/>
      <c r="AB543" s="23"/>
    </row>
    <row r="544">
      <c r="A544" s="4"/>
      <c r="K544" s="4"/>
      <c r="L544" s="4"/>
      <c r="M544" s="4"/>
      <c r="N544" s="4"/>
      <c r="O544" s="29"/>
      <c r="P544" s="4"/>
      <c r="Q544" s="4"/>
      <c r="R544" s="4"/>
      <c r="T544" s="17"/>
      <c r="V544" s="18"/>
      <c r="W544" s="19"/>
      <c r="X544" s="17"/>
      <c r="AB544" s="23"/>
    </row>
    <row r="545">
      <c r="A545" s="4"/>
      <c r="K545" s="4"/>
      <c r="L545" s="4"/>
      <c r="M545" s="4"/>
      <c r="N545" s="4"/>
      <c r="O545" s="29"/>
      <c r="P545" s="4"/>
      <c r="Q545" s="4"/>
      <c r="R545" s="4"/>
      <c r="T545" s="17"/>
      <c r="V545" s="18"/>
      <c r="W545" s="19"/>
      <c r="X545" s="17"/>
      <c r="AB545" s="23"/>
    </row>
    <row r="546">
      <c r="A546" s="4"/>
      <c r="K546" s="4"/>
      <c r="L546" s="4"/>
      <c r="M546" s="4"/>
      <c r="N546" s="4"/>
      <c r="O546" s="29"/>
      <c r="P546" s="4"/>
      <c r="Q546" s="4"/>
      <c r="R546" s="4"/>
      <c r="T546" s="17"/>
      <c r="V546" s="18"/>
      <c r="W546" s="19"/>
      <c r="X546" s="17"/>
      <c r="AB546" s="23"/>
    </row>
    <row r="547">
      <c r="A547" s="4"/>
      <c r="K547" s="4"/>
      <c r="L547" s="4"/>
      <c r="M547" s="4"/>
      <c r="N547" s="4"/>
      <c r="O547" s="29"/>
      <c r="P547" s="4"/>
      <c r="Q547" s="4"/>
      <c r="R547" s="4"/>
      <c r="T547" s="17"/>
      <c r="V547" s="18"/>
      <c r="W547" s="19"/>
      <c r="X547" s="17"/>
      <c r="AB547" s="23"/>
    </row>
    <row r="548">
      <c r="A548" s="4"/>
      <c r="K548" s="4"/>
      <c r="L548" s="4"/>
      <c r="M548" s="4"/>
      <c r="N548" s="4"/>
      <c r="O548" s="29"/>
      <c r="P548" s="4"/>
      <c r="Q548" s="4"/>
      <c r="R548" s="4"/>
      <c r="T548" s="17"/>
      <c r="V548" s="18"/>
      <c r="W548" s="19"/>
      <c r="X548" s="17"/>
      <c r="AB548" s="23"/>
    </row>
    <row r="549">
      <c r="A549" s="4"/>
      <c r="K549" s="4"/>
      <c r="L549" s="4"/>
      <c r="M549" s="4"/>
      <c r="N549" s="4"/>
      <c r="O549" s="29"/>
      <c r="P549" s="4"/>
      <c r="Q549" s="4"/>
      <c r="R549" s="4"/>
      <c r="T549" s="17"/>
      <c r="V549" s="18"/>
      <c r="W549" s="19"/>
      <c r="X549" s="17"/>
      <c r="AB549" s="23"/>
    </row>
    <row r="550">
      <c r="A550" s="4"/>
      <c r="K550" s="4"/>
      <c r="L550" s="4"/>
      <c r="M550" s="4"/>
      <c r="N550" s="4"/>
      <c r="O550" s="29"/>
      <c r="P550" s="4"/>
      <c r="Q550" s="4"/>
      <c r="R550" s="4"/>
      <c r="T550" s="17"/>
      <c r="V550" s="18"/>
      <c r="W550" s="19"/>
      <c r="X550" s="17"/>
      <c r="AB550" s="23"/>
    </row>
    <row r="551">
      <c r="A551" s="4"/>
      <c r="K551" s="4"/>
      <c r="L551" s="4"/>
      <c r="M551" s="4"/>
      <c r="N551" s="4"/>
      <c r="O551" s="29"/>
      <c r="P551" s="4"/>
      <c r="Q551" s="4"/>
      <c r="R551" s="4"/>
      <c r="T551" s="17"/>
      <c r="V551" s="18"/>
      <c r="W551" s="19"/>
      <c r="X551" s="17"/>
      <c r="AB551" s="23"/>
    </row>
    <row r="552">
      <c r="A552" s="4"/>
      <c r="K552" s="4"/>
      <c r="L552" s="4"/>
      <c r="M552" s="4"/>
      <c r="N552" s="4"/>
      <c r="O552" s="29"/>
      <c r="P552" s="4"/>
      <c r="Q552" s="4"/>
      <c r="R552" s="4"/>
      <c r="T552" s="17"/>
      <c r="V552" s="18"/>
      <c r="W552" s="19"/>
      <c r="X552" s="17"/>
      <c r="AB552" s="23"/>
    </row>
    <row r="553">
      <c r="A553" s="4"/>
      <c r="K553" s="4"/>
      <c r="L553" s="4"/>
      <c r="M553" s="4"/>
      <c r="N553" s="4"/>
      <c r="O553" s="29"/>
      <c r="P553" s="4"/>
      <c r="Q553" s="4"/>
      <c r="R553" s="4"/>
      <c r="T553" s="17"/>
      <c r="V553" s="18"/>
      <c r="W553" s="19"/>
      <c r="X553" s="17"/>
      <c r="AB553" s="23"/>
    </row>
    <row r="554">
      <c r="A554" s="4"/>
      <c r="K554" s="4"/>
      <c r="L554" s="4"/>
      <c r="M554" s="4"/>
      <c r="N554" s="4"/>
      <c r="O554" s="29"/>
      <c r="P554" s="4"/>
      <c r="Q554" s="4"/>
      <c r="R554" s="4"/>
      <c r="T554" s="17"/>
      <c r="V554" s="18"/>
      <c r="W554" s="19"/>
      <c r="X554" s="17"/>
      <c r="AB554" s="23"/>
    </row>
    <row r="555">
      <c r="A555" s="4"/>
      <c r="K555" s="4"/>
      <c r="L555" s="4"/>
      <c r="M555" s="4"/>
      <c r="N555" s="4"/>
      <c r="O555" s="29"/>
      <c r="P555" s="4"/>
      <c r="Q555" s="4"/>
      <c r="R555" s="4"/>
      <c r="T555" s="17"/>
      <c r="V555" s="18"/>
      <c r="W555" s="19"/>
      <c r="X555" s="17"/>
      <c r="AB555" s="23"/>
    </row>
    <row r="556">
      <c r="A556" s="4"/>
      <c r="K556" s="4"/>
      <c r="L556" s="4"/>
      <c r="M556" s="4"/>
      <c r="N556" s="4"/>
      <c r="O556" s="29"/>
      <c r="P556" s="4"/>
      <c r="Q556" s="4"/>
      <c r="R556" s="4"/>
      <c r="T556" s="17"/>
      <c r="V556" s="18"/>
      <c r="W556" s="19"/>
      <c r="X556" s="17"/>
      <c r="AB556" s="23"/>
    </row>
    <row r="557">
      <c r="A557" s="4"/>
      <c r="K557" s="4"/>
      <c r="L557" s="4"/>
      <c r="M557" s="4"/>
      <c r="N557" s="4"/>
      <c r="O557" s="29"/>
      <c r="P557" s="4"/>
      <c r="Q557" s="4"/>
      <c r="R557" s="4"/>
      <c r="T557" s="17"/>
      <c r="V557" s="18"/>
      <c r="W557" s="19"/>
      <c r="X557" s="17"/>
      <c r="AB557" s="23"/>
    </row>
    <row r="558">
      <c r="A558" s="4"/>
      <c r="K558" s="4"/>
      <c r="L558" s="4"/>
      <c r="M558" s="4"/>
      <c r="N558" s="4"/>
      <c r="O558" s="29"/>
      <c r="P558" s="4"/>
      <c r="Q558" s="4"/>
      <c r="R558" s="4"/>
      <c r="T558" s="17"/>
      <c r="V558" s="18"/>
      <c r="W558" s="19"/>
      <c r="X558" s="17"/>
      <c r="AB558" s="23"/>
    </row>
    <row r="559">
      <c r="A559" s="4"/>
      <c r="K559" s="4"/>
      <c r="L559" s="4"/>
      <c r="M559" s="4"/>
      <c r="N559" s="4"/>
      <c r="O559" s="29"/>
      <c r="P559" s="4"/>
      <c r="Q559" s="4"/>
      <c r="R559" s="4"/>
      <c r="T559" s="17"/>
      <c r="V559" s="18"/>
      <c r="W559" s="19"/>
      <c r="X559" s="17"/>
      <c r="AB559" s="23"/>
    </row>
    <row r="560">
      <c r="A560" s="4"/>
      <c r="K560" s="4"/>
      <c r="L560" s="4"/>
      <c r="M560" s="4"/>
      <c r="N560" s="4"/>
      <c r="O560" s="29"/>
      <c r="P560" s="4"/>
      <c r="Q560" s="4"/>
      <c r="R560" s="4"/>
      <c r="T560" s="17"/>
      <c r="V560" s="18"/>
      <c r="W560" s="19"/>
      <c r="X560" s="17"/>
      <c r="AB560" s="23"/>
    </row>
    <row r="561">
      <c r="A561" s="4"/>
      <c r="K561" s="4"/>
      <c r="L561" s="4"/>
      <c r="M561" s="4"/>
      <c r="N561" s="4"/>
      <c r="O561" s="29"/>
      <c r="P561" s="4"/>
      <c r="Q561" s="4"/>
      <c r="R561" s="4"/>
      <c r="T561" s="17"/>
      <c r="V561" s="18"/>
      <c r="W561" s="19"/>
      <c r="X561" s="17"/>
      <c r="AB561" s="23"/>
    </row>
    <row r="562">
      <c r="A562" s="4"/>
      <c r="K562" s="4"/>
      <c r="L562" s="4"/>
      <c r="M562" s="4"/>
      <c r="N562" s="4"/>
      <c r="O562" s="29"/>
      <c r="P562" s="4"/>
      <c r="Q562" s="4"/>
      <c r="R562" s="4"/>
      <c r="T562" s="17"/>
      <c r="V562" s="18"/>
      <c r="W562" s="19"/>
      <c r="X562" s="17"/>
      <c r="AB562" s="23"/>
    </row>
    <row r="563">
      <c r="A563" s="4"/>
      <c r="K563" s="4"/>
      <c r="L563" s="4"/>
      <c r="M563" s="4"/>
      <c r="N563" s="4"/>
      <c r="O563" s="29"/>
      <c r="P563" s="4"/>
      <c r="Q563" s="4"/>
      <c r="R563" s="4"/>
      <c r="T563" s="17"/>
      <c r="V563" s="18"/>
      <c r="W563" s="19"/>
      <c r="X563" s="17"/>
      <c r="AB563" s="23"/>
    </row>
    <row r="564">
      <c r="A564" s="4"/>
      <c r="K564" s="4"/>
      <c r="L564" s="4"/>
      <c r="M564" s="4"/>
      <c r="N564" s="4"/>
      <c r="O564" s="29"/>
      <c r="P564" s="4"/>
      <c r="Q564" s="4"/>
      <c r="R564" s="4"/>
      <c r="T564" s="17"/>
      <c r="V564" s="18"/>
      <c r="W564" s="19"/>
      <c r="X564" s="17"/>
      <c r="AB564" s="23"/>
    </row>
    <row r="565">
      <c r="A565" s="4"/>
      <c r="K565" s="4"/>
      <c r="L565" s="4"/>
      <c r="M565" s="4"/>
      <c r="N565" s="4"/>
      <c r="O565" s="29"/>
      <c r="P565" s="4"/>
      <c r="Q565" s="4"/>
      <c r="R565" s="4"/>
      <c r="T565" s="17"/>
      <c r="V565" s="18"/>
      <c r="W565" s="19"/>
      <c r="X565" s="17"/>
      <c r="AB565" s="23"/>
    </row>
    <row r="566">
      <c r="A566" s="4"/>
      <c r="K566" s="4"/>
      <c r="L566" s="4"/>
      <c r="M566" s="4"/>
      <c r="N566" s="4"/>
      <c r="O566" s="29"/>
      <c r="P566" s="4"/>
      <c r="Q566" s="4"/>
      <c r="R566" s="4"/>
      <c r="T566" s="17"/>
      <c r="V566" s="18"/>
      <c r="W566" s="19"/>
      <c r="X566" s="17"/>
      <c r="AB566" s="23"/>
    </row>
    <row r="567">
      <c r="A567" s="4"/>
      <c r="K567" s="4"/>
      <c r="L567" s="4"/>
      <c r="M567" s="4"/>
      <c r="N567" s="4"/>
      <c r="O567" s="29"/>
      <c r="P567" s="4"/>
      <c r="Q567" s="4"/>
      <c r="R567" s="4"/>
      <c r="T567" s="17"/>
      <c r="V567" s="18"/>
      <c r="W567" s="19"/>
      <c r="X567" s="17"/>
      <c r="AB567" s="23"/>
    </row>
    <row r="568">
      <c r="A568" s="4"/>
      <c r="K568" s="4"/>
      <c r="L568" s="4"/>
      <c r="M568" s="4"/>
      <c r="N568" s="4"/>
      <c r="O568" s="29"/>
      <c r="P568" s="4"/>
      <c r="Q568" s="4"/>
      <c r="R568" s="4"/>
      <c r="T568" s="17"/>
      <c r="V568" s="18"/>
      <c r="W568" s="19"/>
      <c r="X568" s="17"/>
      <c r="AB568" s="23"/>
    </row>
    <row r="569">
      <c r="A569" s="4"/>
      <c r="K569" s="4"/>
      <c r="L569" s="4"/>
      <c r="M569" s="4"/>
      <c r="N569" s="4"/>
      <c r="O569" s="29"/>
      <c r="P569" s="4"/>
      <c r="Q569" s="4"/>
      <c r="R569" s="4"/>
      <c r="T569" s="17"/>
      <c r="V569" s="18"/>
      <c r="W569" s="19"/>
      <c r="X569" s="17"/>
      <c r="AB569" s="23"/>
    </row>
    <row r="570">
      <c r="A570" s="4"/>
      <c r="K570" s="4"/>
      <c r="L570" s="4"/>
      <c r="M570" s="4"/>
      <c r="N570" s="4"/>
      <c r="O570" s="29"/>
      <c r="P570" s="4"/>
      <c r="Q570" s="4"/>
      <c r="R570" s="4"/>
      <c r="T570" s="17"/>
      <c r="V570" s="18"/>
      <c r="W570" s="19"/>
      <c r="X570" s="17"/>
      <c r="AB570" s="23"/>
    </row>
    <row r="571">
      <c r="A571" s="4"/>
      <c r="K571" s="4"/>
      <c r="L571" s="4"/>
      <c r="M571" s="4"/>
      <c r="N571" s="4"/>
      <c r="O571" s="29"/>
      <c r="P571" s="4"/>
      <c r="Q571" s="4"/>
      <c r="R571" s="4"/>
      <c r="T571" s="17"/>
      <c r="V571" s="18"/>
      <c r="W571" s="19"/>
      <c r="X571" s="17"/>
      <c r="AB571" s="23"/>
    </row>
    <row r="572">
      <c r="A572" s="4"/>
      <c r="K572" s="4"/>
      <c r="L572" s="4"/>
      <c r="M572" s="4"/>
      <c r="N572" s="4"/>
      <c r="O572" s="29"/>
      <c r="P572" s="4"/>
      <c r="Q572" s="4"/>
      <c r="R572" s="4"/>
      <c r="T572" s="17"/>
      <c r="V572" s="18"/>
      <c r="W572" s="19"/>
      <c r="X572" s="17"/>
      <c r="AB572" s="23"/>
    </row>
    <row r="573">
      <c r="A573" s="4"/>
      <c r="K573" s="4"/>
      <c r="L573" s="4"/>
      <c r="M573" s="4"/>
      <c r="N573" s="4"/>
      <c r="O573" s="29"/>
      <c r="P573" s="4"/>
      <c r="Q573" s="4"/>
      <c r="R573" s="4"/>
      <c r="T573" s="17"/>
      <c r="V573" s="18"/>
      <c r="W573" s="19"/>
      <c r="X573" s="17"/>
      <c r="AB573" s="23"/>
    </row>
    <row r="574">
      <c r="A574" s="4"/>
      <c r="K574" s="4"/>
      <c r="L574" s="4"/>
      <c r="M574" s="4"/>
      <c r="N574" s="4"/>
      <c r="O574" s="29"/>
      <c r="P574" s="4"/>
      <c r="Q574" s="4"/>
      <c r="R574" s="4"/>
      <c r="T574" s="17"/>
      <c r="V574" s="18"/>
      <c r="W574" s="19"/>
      <c r="X574" s="17"/>
      <c r="AB574" s="23"/>
    </row>
    <row r="575">
      <c r="A575" s="4"/>
      <c r="K575" s="4"/>
      <c r="L575" s="4"/>
      <c r="M575" s="4"/>
      <c r="N575" s="4"/>
      <c r="O575" s="29"/>
      <c r="P575" s="4"/>
      <c r="Q575" s="4"/>
      <c r="R575" s="4"/>
      <c r="T575" s="17"/>
      <c r="V575" s="18"/>
      <c r="W575" s="19"/>
      <c r="X575" s="17"/>
      <c r="AB575" s="23"/>
    </row>
    <row r="576">
      <c r="A576" s="4"/>
      <c r="K576" s="4"/>
      <c r="L576" s="4"/>
      <c r="M576" s="4"/>
      <c r="N576" s="4"/>
      <c r="O576" s="29"/>
      <c r="P576" s="4"/>
      <c r="Q576" s="4"/>
      <c r="R576" s="4"/>
      <c r="T576" s="17"/>
      <c r="V576" s="18"/>
      <c r="W576" s="19"/>
      <c r="X576" s="17"/>
      <c r="AB576" s="23"/>
    </row>
    <row r="577">
      <c r="A577" s="4"/>
      <c r="K577" s="4"/>
      <c r="L577" s="4"/>
      <c r="M577" s="4"/>
      <c r="N577" s="4"/>
      <c r="O577" s="29"/>
      <c r="P577" s="4"/>
      <c r="Q577" s="4"/>
      <c r="R577" s="4"/>
      <c r="T577" s="17"/>
      <c r="V577" s="18"/>
      <c r="W577" s="19"/>
      <c r="X577" s="17"/>
      <c r="AB577" s="23"/>
    </row>
    <row r="578">
      <c r="A578" s="4"/>
      <c r="K578" s="4"/>
      <c r="L578" s="4"/>
      <c r="M578" s="4"/>
      <c r="N578" s="4"/>
      <c r="O578" s="29"/>
      <c r="P578" s="4"/>
      <c r="Q578" s="4"/>
      <c r="R578" s="4"/>
      <c r="T578" s="17"/>
      <c r="V578" s="18"/>
      <c r="W578" s="19"/>
      <c r="X578" s="17"/>
      <c r="AB578" s="23"/>
    </row>
    <row r="579">
      <c r="A579" s="4"/>
      <c r="K579" s="4"/>
      <c r="L579" s="4"/>
      <c r="M579" s="4"/>
      <c r="N579" s="4"/>
      <c r="O579" s="29"/>
      <c r="P579" s="4"/>
      <c r="Q579" s="4"/>
      <c r="R579" s="4"/>
      <c r="T579" s="17"/>
      <c r="V579" s="18"/>
      <c r="W579" s="19"/>
      <c r="X579" s="17"/>
      <c r="AB579" s="23"/>
    </row>
    <row r="580">
      <c r="A580" s="4"/>
      <c r="K580" s="4"/>
      <c r="L580" s="4"/>
      <c r="M580" s="4"/>
      <c r="N580" s="4"/>
      <c r="O580" s="29"/>
      <c r="P580" s="4"/>
      <c r="Q580" s="4"/>
      <c r="R580" s="4"/>
      <c r="T580" s="17"/>
      <c r="V580" s="18"/>
      <c r="W580" s="19"/>
      <c r="X580" s="17"/>
      <c r="AB580" s="23"/>
    </row>
    <row r="581">
      <c r="A581" s="4"/>
      <c r="K581" s="4"/>
      <c r="L581" s="4"/>
      <c r="M581" s="4"/>
      <c r="N581" s="4"/>
      <c r="O581" s="29"/>
      <c r="P581" s="4"/>
      <c r="Q581" s="4"/>
      <c r="R581" s="4"/>
      <c r="T581" s="17"/>
      <c r="V581" s="18"/>
      <c r="W581" s="19"/>
      <c r="X581" s="17"/>
      <c r="AB581" s="23"/>
    </row>
    <row r="582">
      <c r="A582" s="4"/>
      <c r="K582" s="4"/>
      <c r="L582" s="4"/>
      <c r="M582" s="4"/>
      <c r="N582" s="4"/>
      <c r="O582" s="29"/>
      <c r="P582" s="4"/>
      <c r="Q582" s="4"/>
      <c r="R582" s="4"/>
      <c r="T582" s="17"/>
      <c r="V582" s="18"/>
      <c r="W582" s="19"/>
      <c r="X582" s="17"/>
      <c r="AB582" s="23"/>
    </row>
    <row r="583">
      <c r="A583" s="4"/>
      <c r="K583" s="4"/>
      <c r="L583" s="4"/>
      <c r="M583" s="4"/>
      <c r="N583" s="4"/>
      <c r="O583" s="29"/>
      <c r="P583" s="4"/>
      <c r="Q583" s="4"/>
      <c r="R583" s="4"/>
      <c r="T583" s="17"/>
      <c r="V583" s="18"/>
      <c r="W583" s="19"/>
      <c r="X583" s="17"/>
      <c r="AB583" s="23"/>
    </row>
    <row r="584">
      <c r="A584" s="4"/>
      <c r="K584" s="4"/>
      <c r="L584" s="4"/>
      <c r="M584" s="4"/>
      <c r="N584" s="4"/>
      <c r="O584" s="29"/>
      <c r="P584" s="4"/>
      <c r="Q584" s="4"/>
      <c r="R584" s="4"/>
      <c r="T584" s="17"/>
      <c r="V584" s="18"/>
      <c r="W584" s="19"/>
      <c r="X584" s="17"/>
      <c r="AB584" s="23"/>
    </row>
    <row r="585">
      <c r="A585" s="4"/>
      <c r="K585" s="4"/>
      <c r="L585" s="4"/>
      <c r="M585" s="4"/>
      <c r="N585" s="4"/>
      <c r="O585" s="29"/>
      <c r="P585" s="4"/>
      <c r="Q585" s="4"/>
      <c r="R585" s="4"/>
      <c r="T585" s="17"/>
      <c r="V585" s="18"/>
      <c r="W585" s="19"/>
      <c r="X585" s="17"/>
      <c r="AB585" s="23"/>
    </row>
    <row r="586">
      <c r="A586" s="4"/>
      <c r="K586" s="4"/>
      <c r="L586" s="4"/>
      <c r="M586" s="4"/>
      <c r="N586" s="4"/>
      <c r="O586" s="29"/>
      <c r="P586" s="4"/>
      <c r="Q586" s="4"/>
      <c r="R586" s="4"/>
      <c r="T586" s="17"/>
      <c r="V586" s="18"/>
      <c r="W586" s="19"/>
      <c r="X586" s="17"/>
      <c r="AB586" s="23"/>
    </row>
    <row r="587">
      <c r="A587" s="4"/>
      <c r="K587" s="4"/>
      <c r="L587" s="4"/>
      <c r="M587" s="4"/>
      <c r="N587" s="4"/>
      <c r="O587" s="29"/>
      <c r="P587" s="4"/>
      <c r="Q587" s="4"/>
      <c r="R587" s="4"/>
      <c r="T587" s="17"/>
      <c r="V587" s="18"/>
      <c r="W587" s="19"/>
      <c r="X587" s="17"/>
      <c r="AB587" s="23"/>
    </row>
    <row r="588">
      <c r="A588" s="4"/>
      <c r="K588" s="4"/>
      <c r="L588" s="4"/>
      <c r="M588" s="4"/>
      <c r="N588" s="4"/>
      <c r="O588" s="29"/>
      <c r="P588" s="4"/>
      <c r="Q588" s="4"/>
      <c r="R588" s="4"/>
      <c r="T588" s="17"/>
      <c r="V588" s="18"/>
      <c r="W588" s="19"/>
      <c r="X588" s="17"/>
      <c r="AB588" s="23"/>
    </row>
    <row r="589">
      <c r="A589" s="4"/>
      <c r="K589" s="4"/>
      <c r="L589" s="4"/>
      <c r="M589" s="4"/>
      <c r="N589" s="4"/>
      <c r="O589" s="29"/>
      <c r="P589" s="4"/>
      <c r="Q589" s="4"/>
      <c r="R589" s="4"/>
      <c r="T589" s="17"/>
      <c r="V589" s="18"/>
      <c r="W589" s="19"/>
      <c r="X589" s="17"/>
      <c r="AB589" s="23"/>
    </row>
    <row r="590">
      <c r="A590" s="4"/>
      <c r="K590" s="4"/>
      <c r="L590" s="4"/>
      <c r="M590" s="4"/>
      <c r="N590" s="4"/>
      <c r="O590" s="29"/>
      <c r="P590" s="4"/>
      <c r="Q590" s="4"/>
      <c r="R590" s="4"/>
      <c r="T590" s="17"/>
      <c r="V590" s="18"/>
      <c r="W590" s="19"/>
      <c r="X590" s="17"/>
      <c r="AB590" s="23"/>
    </row>
    <row r="591">
      <c r="A591" s="4"/>
      <c r="K591" s="4"/>
      <c r="L591" s="4"/>
      <c r="M591" s="4"/>
      <c r="N591" s="4"/>
      <c r="O591" s="29"/>
      <c r="P591" s="4"/>
      <c r="Q591" s="4"/>
      <c r="R591" s="4"/>
      <c r="T591" s="17"/>
      <c r="V591" s="18"/>
      <c r="W591" s="19"/>
      <c r="X591" s="17"/>
      <c r="AB591" s="23"/>
    </row>
    <row r="592">
      <c r="A592" s="4"/>
      <c r="K592" s="4"/>
      <c r="L592" s="4"/>
      <c r="M592" s="4"/>
      <c r="N592" s="4"/>
      <c r="O592" s="29"/>
      <c r="P592" s="4"/>
      <c r="Q592" s="4"/>
      <c r="R592" s="4"/>
      <c r="T592" s="17"/>
      <c r="V592" s="18"/>
      <c r="W592" s="19"/>
      <c r="X592" s="17"/>
      <c r="AB592" s="23"/>
    </row>
    <row r="593">
      <c r="A593" s="4"/>
      <c r="K593" s="4"/>
      <c r="L593" s="4"/>
      <c r="M593" s="4"/>
      <c r="N593" s="4"/>
      <c r="O593" s="29"/>
      <c r="P593" s="4"/>
      <c r="Q593" s="4"/>
      <c r="R593" s="4"/>
      <c r="T593" s="17"/>
      <c r="V593" s="18"/>
      <c r="W593" s="19"/>
      <c r="X593" s="17"/>
      <c r="AB593" s="23"/>
    </row>
    <row r="594">
      <c r="A594" s="4"/>
      <c r="K594" s="4"/>
      <c r="L594" s="4"/>
      <c r="M594" s="4"/>
      <c r="N594" s="4"/>
      <c r="O594" s="29"/>
      <c r="P594" s="4"/>
      <c r="Q594" s="4"/>
      <c r="R594" s="4"/>
      <c r="T594" s="17"/>
      <c r="V594" s="18"/>
      <c r="W594" s="19"/>
      <c r="X594" s="17"/>
      <c r="AB594" s="23"/>
    </row>
    <row r="595">
      <c r="A595" s="4"/>
      <c r="K595" s="4"/>
      <c r="L595" s="4"/>
      <c r="M595" s="4"/>
      <c r="N595" s="4"/>
      <c r="O595" s="29"/>
      <c r="P595" s="4"/>
      <c r="Q595" s="4"/>
      <c r="R595" s="4"/>
      <c r="T595" s="17"/>
      <c r="V595" s="18"/>
      <c r="W595" s="19"/>
      <c r="X595" s="17"/>
      <c r="AB595" s="23"/>
    </row>
    <row r="596">
      <c r="A596" s="4"/>
      <c r="K596" s="4"/>
      <c r="L596" s="4"/>
      <c r="M596" s="4"/>
      <c r="N596" s="4"/>
      <c r="O596" s="29"/>
      <c r="P596" s="4"/>
      <c r="Q596" s="4"/>
      <c r="R596" s="4"/>
      <c r="T596" s="17"/>
      <c r="V596" s="18"/>
      <c r="W596" s="19"/>
      <c r="X596" s="17"/>
      <c r="AB596" s="23"/>
    </row>
    <row r="597">
      <c r="A597" s="4"/>
      <c r="K597" s="4"/>
      <c r="L597" s="4"/>
      <c r="M597" s="4"/>
      <c r="N597" s="4"/>
      <c r="O597" s="29"/>
      <c r="P597" s="4"/>
      <c r="Q597" s="4"/>
      <c r="R597" s="4"/>
      <c r="T597" s="17"/>
      <c r="V597" s="18"/>
      <c r="W597" s="19"/>
      <c r="X597" s="17"/>
      <c r="AB597" s="23"/>
    </row>
    <row r="598">
      <c r="A598" s="4"/>
      <c r="K598" s="4"/>
      <c r="L598" s="4"/>
      <c r="M598" s="4"/>
      <c r="N598" s="4"/>
      <c r="O598" s="29"/>
      <c r="P598" s="4"/>
      <c r="Q598" s="4"/>
      <c r="R598" s="4"/>
      <c r="T598" s="17"/>
      <c r="V598" s="18"/>
      <c r="W598" s="19"/>
      <c r="X598" s="17"/>
      <c r="AB598" s="23"/>
    </row>
    <row r="599">
      <c r="A599" s="4"/>
      <c r="K599" s="4"/>
      <c r="L599" s="4"/>
      <c r="M599" s="4"/>
      <c r="N599" s="4"/>
      <c r="O599" s="29"/>
      <c r="P599" s="4"/>
      <c r="Q599" s="4"/>
      <c r="R599" s="4"/>
      <c r="T599" s="17"/>
      <c r="V599" s="18"/>
      <c r="W599" s="19"/>
      <c r="X599" s="17"/>
      <c r="AB599" s="23"/>
    </row>
    <row r="600">
      <c r="A600" s="4"/>
      <c r="K600" s="4"/>
      <c r="L600" s="4"/>
      <c r="M600" s="4"/>
      <c r="N600" s="4"/>
      <c r="O600" s="29"/>
      <c r="P600" s="4"/>
      <c r="Q600" s="4"/>
      <c r="R600" s="4"/>
      <c r="T600" s="17"/>
      <c r="V600" s="18"/>
      <c r="W600" s="19"/>
      <c r="X600" s="17"/>
      <c r="AB600" s="23"/>
    </row>
    <row r="601">
      <c r="A601" s="4"/>
      <c r="K601" s="4"/>
      <c r="L601" s="4"/>
      <c r="M601" s="4"/>
      <c r="N601" s="4"/>
      <c r="O601" s="29"/>
      <c r="P601" s="4"/>
      <c r="Q601" s="4"/>
      <c r="R601" s="4"/>
      <c r="T601" s="17"/>
      <c r="V601" s="18"/>
      <c r="W601" s="19"/>
      <c r="X601" s="17"/>
      <c r="AB601" s="23"/>
    </row>
    <row r="602">
      <c r="A602" s="4"/>
      <c r="K602" s="4"/>
      <c r="L602" s="4"/>
      <c r="M602" s="4"/>
      <c r="N602" s="4"/>
      <c r="O602" s="29"/>
      <c r="P602" s="4"/>
      <c r="Q602" s="4"/>
      <c r="R602" s="4"/>
      <c r="T602" s="17"/>
      <c r="V602" s="18"/>
      <c r="W602" s="19"/>
      <c r="X602" s="17"/>
      <c r="AB602" s="23"/>
    </row>
    <row r="603">
      <c r="A603" s="4"/>
      <c r="K603" s="4"/>
      <c r="L603" s="4"/>
      <c r="M603" s="4"/>
      <c r="N603" s="4"/>
      <c r="O603" s="29"/>
      <c r="P603" s="4"/>
      <c r="Q603" s="4"/>
      <c r="R603" s="4"/>
      <c r="T603" s="17"/>
      <c r="V603" s="18"/>
      <c r="W603" s="19"/>
      <c r="X603" s="17"/>
      <c r="AB603" s="23"/>
    </row>
    <row r="604">
      <c r="A604" s="4"/>
      <c r="K604" s="4"/>
      <c r="L604" s="4"/>
      <c r="M604" s="4"/>
      <c r="N604" s="4"/>
      <c r="O604" s="29"/>
      <c r="P604" s="4"/>
      <c r="Q604" s="4"/>
      <c r="R604" s="4"/>
      <c r="T604" s="17"/>
      <c r="V604" s="18"/>
      <c r="W604" s="19"/>
      <c r="X604" s="17"/>
      <c r="AB604" s="23"/>
    </row>
    <row r="605">
      <c r="A605" s="4"/>
      <c r="K605" s="4"/>
      <c r="L605" s="4"/>
      <c r="M605" s="4"/>
      <c r="N605" s="4"/>
      <c r="O605" s="29"/>
      <c r="P605" s="4"/>
      <c r="Q605" s="4"/>
      <c r="R605" s="4"/>
      <c r="T605" s="17"/>
      <c r="V605" s="18"/>
      <c r="W605" s="19"/>
      <c r="X605" s="17"/>
      <c r="AB605" s="23"/>
    </row>
    <row r="606">
      <c r="A606" s="4"/>
      <c r="K606" s="4"/>
      <c r="L606" s="4"/>
      <c r="M606" s="4"/>
      <c r="N606" s="4"/>
      <c r="O606" s="29"/>
      <c r="P606" s="4"/>
      <c r="Q606" s="4"/>
      <c r="R606" s="4"/>
      <c r="T606" s="17"/>
      <c r="V606" s="18"/>
      <c r="W606" s="19"/>
      <c r="X606" s="17"/>
      <c r="AB606" s="23"/>
    </row>
    <row r="607">
      <c r="A607" s="4"/>
      <c r="K607" s="4"/>
      <c r="L607" s="4"/>
      <c r="M607" s="4"/>
      <c r="N607" s="4"/>
      <c r="O607" s="29"/>
      <c r="P607" s="4"/>
      <c r="Q607" s="4"/>
      <c r="R607" s="4"/>
      <c r="T607" s="17"/>
      <c r="V607" s="18"/>
      <c r="W607" s="19"/>
      <c r="X607" s="17"/>
      <c r="AB607" s="23"/>
    </row>
    <row r="608">
      <c r="A608" s="4"/>
      <c r="K608" s="4"/>
      <c r="L608" s="4"/>
      <c r="M608" s="4"/>
      <c r="N608" s="4"/>
      <c r="O608" s="29"/>
      <c r="P608" s="4"/>
      <c r="Q608" s="4"/>
      <c r="R608" s="4"/>
      <c r="T608" s="17"/>
      <c r="V608" s="18"/>
      <c r="W608" s="19"/>
      <c r="X608" s="17"/>
      <c r="AB608" s="23"/>
    </row>
    <row r="609">
      <c r="A609" s="4"/>
      <c r="K609" s="4"/>
      <c r="L609" s="4"/>
      <c r="M609" s="4"/>
      <c r="N609" s="4"/>
      <c r="O609" s="29"/>
      <c r="P609" s="4"/>
      <c r="Q609" s="4"/>
      <c r="R609" s="4"/>
      <c r="T609" s="17"/>
      <c r="V609" s="18"/>
      <c r="W609" s="19"/>
      <c r="X609" s="17"/>
      <c r="AB609" s="23"/>
    </row>
    <row r="610">
      <c r="A610" s="4"/>
      <c r="K610" s="4"/>
      <c r="L610" s="4"/>
      <c r="M610" s="4"/>
      <c r="N610" s="4"/>
      <c r="O610" s="29"/>
      <c r="P610" s="4"/>
      <c r="Q610" s="4"/>
      <c r="R610" s="4"/>
      <c r="T610" s="17"/>
      <c r="V610" s="18"/>
      <c r="W610" s="19"/>
      <c r="X610" s="17"/>
      <c r="AB610" s="23"/>
    </row>
    <row r="611">
      <c r="A611" s="4"/>
      <c r="K611" s="4"/>
      <c r="L611" s="4"/>
      <c r="M611" s="4"/>
      <c r="N611" s="4"/>
      <c r="O611" s="29"/>
      <c r="P611" s="4"/>
      <c r="Q611" s="4"/>
      <c r="R611" s="4"/>
      <c r="T611" s="17"/>
      <c r="V611" s="18"/>
      <c r="W611" s="19"/>
      <c r="X611" s="17"/>
      <c r="AB611" s="23"/>
    </row>
    <row r="612">
      <c r="A612" s="4"/>
      <c r="K612" s="4"/>
      <c r="L612" s="4"/>
      <c r="M612" s="4"/>
      <c r="N612" s="4"/>
      <c r="O612" s="29"/>
      <c r="P612" s="4"/>
      <c r="Q612" s="4"/>
      <c r="R612" s="4"/>
      <c r="T612" s="17"/>
      <c r="V612" s="18"/>
      <c r="W612" s="19"/>
      <c r="X612" s="17"/>
      <c r="AB612" s="23"/>
    </row>
    <row r="613">
      <c r="A613" s="4"/>
      <c r="K613" s="4"/>
      <c r="L613" s="4"/>
      <c r="M613" s="4"/>
      <c r="N613" s="4"/>
      <c r="O613" s="29"/>
      <c r="P613" s="4"/>
      <c r="Q613" s="4"/>
      <c r="R613" s="4"/>
      <c r="T613" s="17"/>
      <c r="V613" s="18"/>
      <c r="W613" s="19"/>
      <c r="X613" s="17"/>
      <c r="AB613" s="23"/>
    </row>
    <row r="614">
      <c r="A614" s="4"/>
      <c r="K614" s="4"/>
      <c r="L614" s="4"/>
      <c r="M614" s="4"/>
      <c r="N614" s="4"/>
      <c r="O614" s="29"/>
      <c r="P614" s="4"/>
      <c r="Q614" s="4"/>
      <c r="R614" s="4"/>
      <c r="T614" s="17"/>
      <c r="V614" s="18"/>
      <c r="W614" s="19"/>
      <c r="X614" s="17"/>
      <c r="AB614" s="23"/>
    </row>
    <row r="615">
      <c r="A615" s="4"/>
      <c r="K615" s="4"/>
      <c r="L615" s="4"/>
      <c r="M615" s="4"/>
      <c r="N615" s="4"/>
      <c r="O615" s="29"/>
      <c r="P615" s="4"/>
      <c r="Q615" s="4"/>
      <c r="R615" s="4"/>
      <c r="T615" s="17"/>
      <c r="V615" s="18"/>
      <c r="W615" s="19"/>
      <c r="X615" s="17"/>
      <c r="AB615" s="23"/>
    </row>
    <row r="616">
      <c r="A616" s="4"/>
      <c r="K616" s="4"/>
      <c r="L616" s="4"/>
      <c r="M616" s="4"/>
      <c r="N616" s="4"/>
      <c r="O616" s="29"/>
      <c r="P616" s="4"/>
      <c r="Q616" s="4"/>
      <c r="R616" s="4"/>
      <c r="T616" s="17"/>
      <c r="V616" s="18"/>
      <c r="W616" s="19"/>
      <c r="X616" s="17"/>
      <c r="AB616" s="23"/>
    </row>
    <row r="617">
      <c r="A617" s="4"/>
      <c r="K617" s="4"/>
      <c r="L617" s="4"/>
      <c r="M617" s="4"/>
      <c r="N617" s="4"/>
      <c r="O617" s="29"/>
      <c r="P617" s="4"/>
      <c r="Q617" s="4"/>
      <c r="R617" s="4"/>
      <c r="T617" s="17"/>
      <c r="V617" s="18"/>
      <c r="W617" s="19"/>
      <c r="X617" s="17"/>
      <c r="AB617" s="23"/>
    </row>
    <row r="618">
      <c r="A618" s="4"/>
      <c r="K618" s="4"/>
      <c r="L618" s="4"/>
      <c r="M618" s="4"/>
      <c r="N618" s="4"/>
      <c r="O618" s="29"/>
      <c r="P618" s="4"/>
      <c r="Q618" s="4"/>
      <c r="R618" s="4"/>
      <c r="T618" s="17"/>
      <c r="V618" s="18"/>
      <c r="W618" s="19"/>
      <c r="X618" s="17"/>
      <c r="AB618" s="23"/>
    </row>
    <row r="619">
      <c r="A619" s="4"/>
      <c r="K619" s="4"/>
      <c r="L619" s="4"/>
      <c r="M619" s="4"/>
      <c r="N619" s="4"/>
      <c r="O619" s="29"/>
      <c r="P619" s="4"/>
      <c r="Q619" s="4"/>
      <c r="R619" s="4"/>
      <c r="T619" s="17"/>
      <c r="V619" s="18"/>
      <c r="W619" s="19"/>
      <c r="X619" s="17"/>
      <c r="AB619" s="23"/>
    </row>
    <row r="620">
      <c r="A620" s="4"/>
      <c r="K620" s="4"/>
      <c r="L620" s="4"/>
      <c r="M620" s="4"/>
      <c r="N620" s="4"/>
      <c r="O620" s="29"/>
      <c r="P620" s="4"/>
      <c r="Q620" s="4"/>
      <c r="R620" s="4"/>
      <c r="T620" s="17"/>
      <c r="V620" s="18"/>
      <c r="W620" s="19"/>
      <c r="X620" s="17"/>
      <c r="AB620" s="23"/>
    </row>
    <row r="621">
      <c r="A621" s="4"/>
      <c r="K621" s="4"/>
      <c r="L621" s="4"/>
      <c r="M621" s="4"/>
      <c r="N621" s="4"/>
      <c r="O621" s="29"/>
      <c r="P621" s="4"/>
      <c r="Q621" s="4"/>
      <c r="R621" s="4"/>
      <c r="T621" s="17"/>
      <c r="V621" s="18"/>
      <c r="W621" s="19"/>
      <c r="X621" s="17"/>
      <c r="AB621" s="23"/>
    </row>
    <row r="622">
      <c r="A622" s="4"/>
      <c r="K622" s="4"/>
      <c r="L622" s="4"/>
      <c r="M622" s="4"/>
      <c r="N622" s="4"/>
      <c r="O622" s="29"/>
      <c r="P622" s="4"/>
      <c r="Q622" s="4"/>
      <c r="R622" s="4"/>
      <c r="T622" s="17"/>
      <c r="V622" s="18"/>
      <c r="W622" s="19"/>
      <c r="X622" s="17"/>
      <c r="AB622" s="23"/>
    </row>
    <row r="623">
      <c r="A623" s="4"/>
      <c r="K623" s="4"/>
      <c r="L623" s="4"/>
      <c r="M623" s="4"/>
      <c r="N623" s="4"/>
      <c r="O623" s="29"/>
      <c r="P623" s="4"/>
      <c r="Q623" s="4"/>
      <c r="R623" s="4"/>
      <c r="T623" s="17"/>
      <c r="V623" s="18"/>
      <c r="W623" s="19"/>
      <c r="X623" s="17"/>
      <c r="AB623" s="23"/>
    </row>
    <row r="624">
      <c r="A624" s="4"/>
      <c r="K624" s="4"/>
      <c r="L624" s="4"/>
      <c r="M624" s="4"/>
      <c r="N624" s="4"/>
      <c r="O624" s="29"/>
      <c r="P624" s="4"/>
      <c r="Q624" s="4"/>
      <c r="R624" s="4"/>
      <c r="T624" s="17"/>
      <c r="V624" s="18"/>
      <c r="W624" s="19"/>
      <c r="X624" s="17"/>
      <c r="AB624" s="23"/>
    </row>
    <row r="625">
      <c r="A625" s="4"/>
      <c r="K625" s="4"/>
      <c r="L625" s="4"/>
      <c r="M625" s="4"/>
      <c r="N625" s="4"/>
      <c r="O625" s="29"/>
      <c r="P625" s="4"/>
      <c r="Q625" s="4"/>
      <c r="R625" s="4"/>
      <c r="T625" s="17"/>
      <c r="V625" s="18"/>
      <c r="W625" s="19"/>
      <c r="X625" s="17"/>
      <c r="AB625" s="23"/>
    </row>
    <row r="626">
      <c r="A626" s="4"/>
      <c r="K626" s="4"/>
      <c r="L626" s="4"/>
      <c r="M626" s="4"/>
      <c r="N626" s="4"/>
      <c r="O626" s="29"/>
      <c r="P626" s="4"/>
      <c r="Q626" s="4"/>
      <c r="R626" s="4"/>
      <c r="T626" s="17"/>
      <c r="V626" s="18"/>
      <c r="W626" s="19"/>
      <c r="X626" s="17"/>
      <c r="AB626" s="23"/>
    </row>
    <row r="627">
      <c r="A627" s="4"/>
      <c r="K627" s="4"/>
      <c r="L627" s="4"/>
      <c r="M627" s="4"/>
      <c r="N627" s="4"/>
      <c r="O627" s="29"/>
      <c r="P627" s="4"/>
      <c r="Q627" s="4"/>
      <c r="R627" s="4"/>
      <c r="T627" s="17"/>
      <c r="V627" s="18"/>
      <c r="W627" s="19"/>
      <c r="X627" s="17"/>
      <c r="AB627" s="23"/>
    </row>
    <row r="628">
      <c r="A628" s="4"/>
      <c r="K628" s="4"/>
      <c r="L628" s="4"/>
      <c r="M628" s="4"/>
      <c r="N628" s="4"/>
      <c r="O628" s="29"/>
      <c r="P628" s="4"/>
      <c r="Q628" s="4"/>
      <c r="R628" s="4"/>
      <c r="T628" s="17"/>
      <c r="V628" s="18"/>
      <c r="W628" s="19"/>
      <c r="X628" s="17"/>
      <c r="AB628" s="23"/>
    </row>
    <row r="629">
      <c r="A629" s="4"/>
      <c r="K629" s="4"/>
      <c r="L629" s="4"/>
      <c r="M629" s="4"/>
      <c r="N629" s="4"/>
      <c r="O629" s="29"/>
      <c r="P629" s="4"/>
      <c r="Q629" s="4"/>
      <c r="R629" s="4"/>
      <c r="T629" s="17"/>
      <c r="V629" s="18"/>
      <c r="W629" s="19"/>
      <c r="X629" s="17"/>
      <c r="AB629" s="23"/>
    </row>
    <row r="630">
      <c r="A630" s="4"/>
      <c r="K630" s="4"/>
      <c r="L630" s="4"/>
      <c r="M630" s="4"/>
      <c r="N630" s="4"/>
      <c r="O630" s="29"/>
      <c r="P630" s="4"/>
      <c r="Q630" s="4"/>
      <c r="R630" s="4"/>
      <c r="T630" s="17"/>
      <c r="V630" s="18"/>
      <c r="W630" s="19"/>
      <c r="X630" s="17"/>
      <c r="AB630" s="23"/>
    </row>
    <row r="631">
      <c r="A631" s="4"/>
      <c r="K631" s="4"/>
      <c r="L631" s="4"/>
      <c r="M631" s="4"/>
      <c r="N631" s="4"/>
      <c r="O631" s="29"/>
      <c r="P631" s="4"/>
      <c r="Q631" s="4"/>
      <c r="R631" s="4"/>
      <c r="T631" s="17"/>
      <c r="V631" s="18"/>
      <c r="W631" s="19"/>
      <c r="X631" s="17"/>
      <c r="AB631" s="23"/>
    </row>
    <row r="632">
      <c r="A632" s="4"/>
      <c r="K632" s="4"/>
      <c r="L632" s="4"/>
      <c r="M632" s="4"/>
      <c r="N632" s="4"/>
      <c r="O632" s="29"/>
      <c r="P632" s="4"/>
      <c r="Q632" s="4"/>
      <c r="R632" s="4"/>
      <c r="T632" s="17"/>
      <c r="V632" s="18"/>
      <c r="W632" s="19"/>
      <c r="X632" s="17"/>
      <c r="AB632" s="23"/>
    </row>
    <row r="633">
      <c r="A633" s="4"/>
      <c r="K633" s="4"/>
      <c r="L633" s="4"/>
      <c r="M633" s="4"/>
      <c r="N633" s="4"/>
      <c r="O633" s="29"/>
      <c r="P633" s="4"/>
      <c r="Q633" s="4"/>
      <c r="R633" s="4"/>
      <c r="T633" s="17"/>
      <c r="V633" s="18"/>
      <c r="W633" s="19"/>
      <c r="X633" s="17"/>
      <c r="AB633" s="23"/>
    </row>
    <row r="634">
      <c r="A634" s="4"/>
      <c r="K634" s="4"/>
      <c r="L634" s="4"/>
      <c r="M634" s="4"/>
      <c r="N634" s="4"/>
      <c r="O634" s="29"/>
      <c r="P634" s="4"/>
      <c r="Q634" s="4"/>
      <c r="R634" s="4"/>
      <c r="T634" s="17"/>
      <c r="V634" s="18"/>
      <c r="W634" s="19"/>
      <c r="X634" s="17"/>
      <c r="AB634" s="23"/>
    </row>
    <row r="635">
      <c r="A635" s="4"/>
      <c r="K635" s="4"/>
      <c r="L635" s="4"/>
      <c r="M635" s="4"/>
      <c r="N635" s="4"/>
      <c r="O635" s="29"/>
      <c r="P635" s="4"/>
      <c r="Q635" s="4"/>
      <c r="R635" s="4"/>
      <c r="T635" s="17"/>
      <c r="V635" s="18"/>
      <c r="W635" s="19"/>
      <c r="X635" s="17"/>
      <c r="AB635" s="23"/>
    </row>
    <row r="636">
      <c r="A636" s="4"/>
      <c r="K636" s="4"/>
      <c r="L636" s="4"/>
      <c r="M636" s="4"/>
      <c r="N636" s="4"/>
      <c r="O636" s="29"/>
      <c r="P636" s="4"/>
      <c r="Q636" s="4"/>
      <c r="R636" s="4"/>
      <c r="T636" s="17"/>
      <c r="V636" s="18"/>
      <c r="W636" s="19"/>
      <c r="X636" s="17"/>
      <c r="AB636" s="23"/>
    </row>
    <row r="637">
      <c r="A637" s="4"/>
      <c r="K637" s="4"/>
      <c r="L637" s="4"/>
      <c r="M637" s="4"/>
      <c r="N637" s="4"/>
      <c r="O637" s="29"/>
      <c r="P637" s="4"/>
      <c r="Q637" s="4"/>
      <c r="R637" s="4"/>
      <c r="T637" s="17"/>
      <c r="V637" s="18"/>
      <c r="W637" s="19"/>
      <c r="X637" s="17"/>
      <c r="AB637" s="23"/>
    </row>
    <row r="638">
      <c r="A638" s="4"/>
      <c r="K638" s="4"/>
      <c r="L638" s="4"/>
      <c r="M638" s="4"/>
      <c r="N638" s="4"/>
      <c r="O638" s="29"/>
      <c r="P638" s="4"/>
      <c r="Q638" s="4"/>
      <c r="R638" s="4"/>
      <c r="T638" s="17"/>
      <c r="V638" s="18"/>
      <c r="W638" s="19"/>
      <c r="X638" s="17"/>
      <c r="AB638" s="23"/>
    </row>
    <row r="639">
      <c r="A639" s="4"/>
      <c r="K639" s="4"/>
      <c r="L639" s="4"/>
      <c r="M639" s="4"/>
      <c r="N639" s="4"/>
      <c r="O639" s="29"/>
      <c r="P639" s="4"/>
      <c r="Q639" s="4"/>
      <c r="R639" s="4"/>
      <c r="T639" s="17"/>
      <c r="V639" s="18"/>
      <c r="W639" s="19"/>
      <c r="X639" s="17"/>
      <c r="AB639" s="23"/>
    </row>
    <row r="640">
      <c r="A640" s="4"/>
      <c r="K640" s="4"/>
      <c r="L640" s="4"/>
      <c r="M640" s="4"/>
      <c r="N640" s="4"/>
      <c r="O640" s="29"/>
      <c r="P640" s="4"/>
      <c r="Q640" s="4"/>
      <c r="R640" s="4"/>
      <c r="T640" s="17"/>
      <c r="V640" s="18"/>
      <c r="W640" s="19"/>
      <c r="X640" s="17"/>
      <c r="AB640" s="23"/>
    </row>
    <row r="641">
      <c r="A641" s="4"/>
      <c r="K641" s="4"/>
      <c r="L641" s="4"/>
      <c r="M641" s="4"/>
      <c r="N641" s="4"/>
      <c r="O641" s="29"/>
      <c r="P641" s="4"/>
      <c r="Q641" s="4"/>
      <c r="R641" s="4"/>
      <c r="T641" s="17"/>
      <c r="V641" s="18"/>
      <c r="W641" s="19"/>
      <c r="X641" s="17"/>
      <c r="AB641" s="23"/>
    </row>
    <row r="642">
      <c r="A642" s="4"/>
      <c r="K642" s="4"/>
      <c r="L642" s="4"/>
      <c r="M642" s="4"/>
      <c r="N642" s="4"/>
      <c r="O642" s="29"/>
      <c r="P642" s="4"/>
      <c r="Q642" s="4"/>
      <c r="R642" s="4"/>
      <c r="T642" s="17"/>
      <c r="V642" s="18"/>
      <c r="W642" s="19"/>
      <c r="X642" s="17"/>
      <c r="AB642" s="23"/>
    </row>
    <row r="643">
      <c r="A643" s="4"/>
      <c r="K643" s="4"/>
      <c r="L643" s="4"/>
      <c r="M643" s="4"/>
      <c r="N643" s="4"/>
      <c r="O643" s="29"/>
      <c r="P643" s="4"/>
      <c r="Q643" s="4"/>
      <c r="R643" s="4"/>
      <c r="T643" s="17"/>
      <c r="V643" s="18"/>
      <c r="W643" s="19"/>
      <c r="X643" s="17"/>
      <c r="AB643" s="23"/>
    </row>
    <row r="644">
      <c r="A644" s="4"/>
      <c r="K644" s="4"/>
      <c r="L644" s="4"/>
      <c r="M644" s="4"/>
      <c r="N644" s="4"/>
      <c r="O644" s="29"/>
      <c r="P644" s="4"/>
      <c r="Q644" s="4"/>
      <c r="R644" s="4"/>
      <c r="T644" s="17"/>
      <c r="V644" s="18"/>
      <c r="W644" s="19"/>
      <c r="X644" s="17"/>
      <c r="AB644" s="23"/>
    </row>
    <row r="645">
      <c r="A645" s="4"/>
      <c r="K645" s="4"/>
      <c r="L645" s="4"/>
      <c r="M645" s="4"/>
      <c r="N645" s="4"/>
      <c r="O645" s="29"/>
      <c r="P645" s="4"/>
      <c r="Q645" s="4"/>
      <c r="R645" s="4"/>
      <c r="T645" s="17"/>
      <c r="V645" s="18"/>
      <c r="W645" s="19"/>
      <c r="X645" s="17"/>
      <c r="AB645" s="23"/>
    </row>
    <row r="646">
      <c r="A646" s="4"/>
      <c r="K646" s="4"/>
      <c r="L646" s="4"/>
      <c r="M646" s="4"/>
      <c r="N646" s="4"/>
      <c r="O646" s="29"/>
      <c r="P646" s="4"/>
      <c r="Q646" s="4"/>
      <c r="R646" s="4"/>
      <c r="T646" s="17"/>
      <c r="V646" s="18"/>
      <c r="W646" s="19"/>
      <c r="X646" s="17"/>
      <c r="AB646" s="23"/>
    </row>
    <row r="647">
      <c r="A647" s="4"/>
      <c r="K647" s="4"/>
      <c r="L647" s="4"/>
      <c r="M647" s="4"/>
      <c r="N647" s="4"/>
      <c r="O647" s="29"/>
      <c r="P647" s="4"/>
      <c r="Q647" s="4"/>
      <c r="R647" s="4"/>
      <c r="T647" s="17"/>
      <c r="V647" s="18"/>
      <c r="W647" s="19"/>
      <c r="X647" s="17"/>
      <c r="AB647" s="23"/>
    </row>
    <row r="648">
      <c r="A648" s="4"/>
      <c r="K648" s="4"/>
      <c r="L648" s="4"/>
      <c r="M648" s="4"/>
      <c r="N648" s="4"/>
      <c r="O648" s="29"/>
      <c r="P648" s="4"/>
      <c r="Q648" s="4"/>
      <c r="R648" s="4"/>
      <c r="T648" s="17"/>
      <c r="V648" s="18"/>
      <c r="W648" s="19"/>
      <c r="X648" s="17"/>
      <c r="AB648" s="23"/>
    </row>
    <row r="649">
      <c r="A649" s="4"/>
      <c r="K649" s="4"/>
      <c r="L649" s="4"/>
      <c r="M649" s="4"/>
      <c r="N649" s="4"/>
      <c r="O649" s="29"/>
      <c r="P649" s="4"/>
      <c r="Q649" s="4"/>
      <c r="R649" s="4"/>
      <c r="T649" s="17"/>
      <c r="V649" s="18"/>
      <c r="W649" s="19"/>
      <c r="X649" s="17"/>
      <c r="AB649" s="23"/>
    </row>
    <row r="650">
      <c r="A650" s="4"/>
      <c r="K650" s="4"/>
      <c r="L650" s="4"/>
      <c r="M650" s="4"/>
      <c r="N650" s="4"/>
      <c r="O650" s="29"/>
      <c r="P650" s="4"/>
      <c r="Q650" s="4"/>
      <c r="R650" s="4"/>
      <c r="T650" s="17"/>
      <c r="V650" s="18"/>
      <c r="W650" s="19"/>
      <c r="X650" s="17"/>
      <c r="AB650" s="23"/>
    </row>
    <row r="651">
      <c r="A651" s="4"/>
      <c r="K651" s="4"/>
      <c r="L651" s="4"/>
      <c r="M651" s="4"/>
      <c r="N651" s="4"/>
      <c r="O651" s="29"/>
      <c r="P651" s="4"/>
      <c r="Q651" s="4"/>
      <c r="R651" s="4"/>
      <c r="T651" s="17"/>
      <c r="V651" s="18"/>
      <c r="W651" s="19"/>
      <c r="X651" s="17"/>
      <c r="AB651" s="23"/>
    </row>
    <row r="652">
      <c r="A652" s="4"/>
      <c r="K652" s="4"/>
      <c r="L652" s="4"/>
      <c r="M652" s="4"/>
      <c r="N652" s="4"/>
      <c r="O652" s="29"/>
      <c r="P652" s="4"/>
      <c r="Q652" s="4"/>
      <c r="R652" s="4"/>
      <c r="T652" s="17"/>
      <c r="V652" s="18"/>
      <c r="W652" s="19"/>
      <c r="X652" s="17"/>
      <c r="AB652" s="23"/>
    </row>
    <row r="653">
      <c r="A653" s="4"/>
      <c r="K653" s="4"/>
      <c r="L653" s="4"/>
      <c r="M653" s="4"/>
      <c r="N653" s="4"/>
      <c r="O653" s="29"/>
      <c r="P653" s="4"/>
      <c r="Q653" s="4"/>
      <c r="R653" s="4"/>
      <c r="T653" s="17"/>
      <c r="V653" s="18"/>
      <c r="W653" s="19"/>
      <c r="X653" s="17"/>
      <c r="AB653" s="23"/>
    </row>
    <row r="654">
      <c r="A654" s="4"/>
      <c r="K654" s="4"/>
      <c r="L654" s="4"/>
      <c r="M654" s="4"/>
      <c r="N654" s="4"/>
      <c r="O654" s="29"/>
      <c r="P654" s="4"/>
      <c r="Q654" s="4"/>
      <c r="R654" s="4"/>
      <c r="T654" s="17"/>
      <c r="V654" s="18"/>
      <c r="W654" s="19"/>
      <c r="X654" s="17"/>
      <c r="AB654" s="23"/>
    </row>
    <row r="655">
      <c r="A655" s="4"/>
      <c r="K655" s="4"/>
      <c r="L655" s="4"/>
      <c r="M655" s="4"/>
      <c r="N655" s="4"/>
      <c r="O655" s="29"/>
      <c r="P655" s="4"/>
      <c r="Q655" s="4"/>
      <c r="R655" s="4"/>
      <c r="T655" s="17"/>
      <c r="V655" s="18"/>
      <c r="W655" s="19"/>
      <c r="X655" s="17"/>
      <c r="AB655" s="23"/>
    </row>
    <row r="656">
      <c r="A656" s="4"/>
      <c r="K656" s="4"/>
      <c r="L656" s="4"/>
      <c r="M656" s="4"/>
      <c r="N656" s="4"/>
      <c r="O656" s="29"/>
      <c r="P656" s="4"/>
      <c r="Q656" s="4"/>
      <c r="R656" s="4"/>
      <c r="T656" s="17"/>
      <c r="V656" s="18"/>
      <c r="W656" s="19"/>
      <c r="X656" s="17"/>
      <c r="AB656" s="23"/>
    </row>
    <row r="657">
      <c r="A657" s="4"/>
      <c r="K657" s="4"/>
      <c r="L657" s="4"/>
      <c r="M657" s="4"/>
      <c r="N657" s="4"/>
      <c r="O657" s="29"/>
      <c r="P657" s="4"/>
      <c r="Q657" s="4"/>
      <c r="R657" s="4"/>
      <c r="T657" s="17"/>
      <c r="V657" s="18"/>
      <c r="W657" s="19"/>
      <c r="X657" s="17"/>
      <c r="AB657" s="23"/>
    </row>
    <row r="658">
      <c r="A658" s="4"/>
      <c r="K658" s="4"/>
      <c r="L658" s="4"/>
      <c r="M658" s="4"/>
      <c r="N658" s="4"/>
      <c r="O658" s="29"/>
      <c r="P658" s="4"/>
      <c r="Q658" s="4"/>
      <c r="R658" s="4"/>
      <c r="T658" s="17"/>
      <c r="V658" s="18"/>
      <c r="W658" s="19"/>
      <c r="X658" s="17"/>
      <c r="AB658" s="23"/>
    </row>
    <row r="659">
      <c r="A659" s="4"/>
      <c r="K659" s="4"/>
      <c r="L659" s="4"/>
      <c r="M659" s="4"/>
      <c r="N659" s="4"/>
      <c r="O659" s="29"/>
      <c r="P659" s="4"/>
      <c r="Q659" s="4"/>
      <c r="R659" s="4"/>
      <c r="T659" s="17"/>
      <c r="V659" s="18"/>
      <c r="W659" s="19"/>
      <c r="X659" s="17"/>
      <c r="AB659" s="23"/>
    </row>
    <row r="660">
      <c r="A660" s="4"/>
      <c r="K660" s="4"/>
      <c r="L660" s="4"/>
      <c r="M660" s="4"/>
      <c r="N660" s="4"/>
      <c r="O660" s="29"/>
      <c r="P660" s="4"/>
      <c r="Q660" s="4"/>
      <c r="R660" s="4"/>
      <c r="T660" s="17"/>
      <c r="V660" s="18"/>
      <c r="W660" s="19"/>
      <c r="X660" s="17"/>
      <c r="AB660" s="23"/>
    </row>
    <row r="661">
      <c r="A661" s="4"/>
      <c r="K661" s="4"/>
      <c r="L661" s="4"/>
      <c r="M661" s="4"/>
      <c r="N661" s="4"/>
      <c r="O661" s="29"/>
      <c r="P661" s="4"/>
      <c r="Q661" s="4"/>
      <c r="R661" s="4"/>
      <c r="T661" s="17"/>
      <c r="V661" s="18"/>
      <c r="W661" s="19"/>
      <c r="X661" s="17"/>
      <c r="AB661" s="23"/>
    </row>
    <row r="662">
      <c r="A662" s="4"/>
      <c r="K662" s="4"/>
      <c r="L662" s="4"/>
      <c r="M662" s="4"/>
      <c r="N662" s="4"/>
      <c r="O662" s="29"/>
      <c r="P662" s="4"/>
      <c r="Q662" s="4"/>
      <c r="R662" s="4"/>
      <c r="T662" s="17"/>
      <c r="V662" s="18"/>
      <c r="W662" s="19"/>
      <c r="X662" s="17"/>
      <c r="AB662" s="23"/>
    </row>
    <row r="663">
      <c r="A663" s="4"/>
      <c r="K663" s="4"/>
      <c r="L663" s="4"/>
      <c r="M663" s="4"/>
      <c r="N663" s="4"/>
      <c r="O663" s="29"/>
      <c r="P663" s="4"/>
      <c r="Q663" s="4"/>
      <c r="R663" s="4"/>
      <c r="T663" s="17"/>
      <c r="V663" s="18"/>
      <c r="W663" s="19"/>
      <c r="X663" s="17"/>
      <c r="AB663" s="23"/>
    </row>
    <row r="664">
      <c r="A664" s="4"/>
      <c r="K664" s="4"/>
      <c r="L664" s="4"/>
      <c r="M664" s="4"/>
      <c r="N664" s="4"/>
      <c r="O664" s="29"/>
      <c r="P664" s="4"/>
      <c r="Q664" s="4"/>
      <c r="R664" s="4"/>
      <c r="T664" s="17"/>
      <c r="V664" s="18"/>
      <c r="W664" s="19"/>
      <c r="X664" s="17"/>
      <c r="AB664" s="23"/>
    </row>
    <row r="665">
      <c r="A665" s="4"/>
      <c r="K665" s="4"/>
      <c r="L665" s="4"/>
      <c r="M665" s="4"/>
      <c r="N665" s="4"/>
      <c r="O665" s="29"/>
      <c r="P665" s="4"/>
      <c r="Q665" s="4"/>
      <c r="R665" s="4"/>
      <c r="T665" s="17"/>
      <c r="V665" s="18"/>
      <c r="W665" s="19"/>
      <c r="X665" s="17"/>
      <c r="AB665" s="23"/>
    </row>
    <row r="666">
      <c r="A666" s="4"/>
      <c r="K666" s="4"/>
      <c r="L666" s="4"/>
      <c r="M666" s="4"/>
      <c r="N666" s="4"/>
      <c r="O666" s="29"/>
      <c r="P666" s="4"/>
      <c r="Q666" s="4"/>
      <c r="R666" s="4"/>
      <c r="T666" s="17"/>
      <c r="V666" s="18"/>
      <c r="W666" s="19"/>
      <c r="X666" s="17"/>
      <c r="AB666" s="23"/>
    </row>
    <row r="667">
      <c r="A667" s="4"/>
      <c r="K667" s="4"/>
      <c r="L667" s="4"/>
      <c r="M667" s="4"/>
      <c r="N667" s="4"/>
      <c r="O667" s="29"/>
      <c r="P667" s="4"/>
      <c r="Q667" s="4"/>
      <c r="R667" s="4"/>
      <c r="T667" s="17"/>
      <c r="V667" s="18"/>
      <c r="W667" s="19"/>
      <c r="X667" s="17"/>
      <c r="AB667" s="23"/>
    </row>
    <row r="668">
      <c r="A668" s="4"/>
      <c r="K668" s="4"/>
      <c r="L668" s="4"/>
      <c r="M668" s="4"/>
      <c r="N668" s="4"/>
      <c r="O668" s="29"/>
      <c r="P668" s="4"/>
      <c r="Q668" s="4"/>
      <c r="R668" s="4"/>
      <c r="T668" s="17"/>
      <c r="V668" s="18"/>
      <c r="W668" s="19"/>
      <c r="X668" s="17"/>
      <c r="AB668" s="23"/>
    </row>
    <row r="669">
      <c r="A669" s="4"/>
      <c r="K669" s="4"/>
      <c r="L669" s="4"/>
      <c r="M669" s="4"/>
      <c r="N669" s="4"/>
      <c r="O669" s="29"/>
      <c r="P669" s="4"/>
      <c r="Q669" s="4"/>
      <c r="R669" s="4"/>
      <c r="T669" s="17"/>
      <c r="V669" s="18"/>
      <c r="W669" s="19"/>
      <c r="X669" s="17"/>
      <c r="AB669" s="23"/>
    </row>
    <row r="670">
      <c r="A670" s="4"/>
      <c r="K670" s="4"/>
      <c r="L670" s="4"/>
      <c r="M670" s="4"/>
      <c r="N670" s="4"/>
      <c r="O670" s="29"/>
      <c r="P670" s="4"/>
      <c r="Q670" s="4"/>
      <c r="R670" s="4"/>
      <c r="T670" s="17"/>
      <c r="V670" s="18"/>
      <c r="W670" s="19"/>
      <c r="X670" s="17"/>
      <c r="AB670" s="23"/>
    </row>
    <row r="671">
      <c r="A671" s="4"/>
      <c r="K671" s="4"/>
      <c r="L671" s="4"/>
      <c r="M671" s="4"/>
      <c r="N671" s="4"/>
      <c r="O671" s="29"/>
      <c r="P671" s="4"/>
      <c r="Q671" s="4"/>
      <c r="R671" s="4"/>
      <c r="T671" s="17"/>
      <c r="V671" s="18"/>
      <c r="W671" s="19"/>
      <c r="X671" s="17"/>
      <c r="AB671" s="23"/>
    </row>
    <row r="672">
      <c r="A672" s="4"/>
      <c r="K672" s="4"/>
      <c r="L672" s="4"/>
      <c r="M672" s="4"/>
      <c r="N672" s="4"/>
      <c r="O672" s="29"/>
      <c r="P672" s="4"/>
      <c r="Q672" s="4"/>
      <c r="R672" s="4"/>
      <c r="T672" s="17"/>
      <c r="V672" s="18"/>
      <c r="W672" s="19"/>
      <c r="X672" s="17"/>
      <c r="AB672" s="23"/>
    </row>
    <row r="673">
      <c r="A673" s="4"/>
      <c r="K673" s="4"/>
      <c r="L673" s="4"/>
      <c r="M673" s="4"/>
      <c r="N673" s="4"/>
      <c r="O673" s="29"/>
      <c r="P673" s="4"/>
      <c r="Q673" s="4"/>
      <c r="R673" s="4"/>
      <c r="T673" s="17"/>
      <c r="V673" s="18"/>
      <c r="W673" s="19"/>
      <c r="X673" s="17"/>
      <c r="AB673" s="23"/>
    </row>
    <row r="674">
      <c r="A674" s="4"/>
      <c r="K674" s="4"/>
      <c r="L674" s="4"/>
      <c r="M674" s="4"/>
      <c r="N674" s="4"/>
      <c r="O674" s="29"/>
      <c r="P674" s="4"/>
      <c r="Q674" s="4"/>
      <c r="R674" s="4"/>
      <c r="T674" s="17"/>
      <c r="V674" s="18"/>
      <c r="W674" s="19"/>
      <c r="X674" s="17"/>
      <c r="AB674" s="23"/>
    </row>
    <row r="675">
      <c r="A675" s="4"/>
      <c r="K675" s="4"/>
      <c r="L675" s="4"/>
      <c r="M675" s="4"/>
      <c r="N675" s="4"/>
      <c r="O675" s="29"/>
      <c r="P675" s="4"/>
      <c r="Q675" s="4"/>
      <c r="R675" s="4"/>
      <c r="T675" s="17"/>
      <c r="V675" s="18"/>
      <c r="W675" s="19"/>
      <c r="X675" s="17"/>
      <c r="AB675" s="23"/>
    </row>
    <row r="676">
      <c r="A676" s="4"/>
      <c r="K676" s="4"/>
      <c r="L676" s="4"/>
      <c r="M676" s="4"/>
      <c r="N676" s="4"/>
      <c r="O676" s="29"/>
      <c r="P676" s="4"/>
      <c r="Q676" s="4"/>
      <c r="R676" s="4"/>
      <c r="T676" s="17"/>
      <c r="V676" s="18"/>
      <c r="W676" s="19"/>
      <c r="X676" s="17"/>
      <c r="AB676" s="23"/>
    </row>
    <row r="677">
      <c r="A677" s="4"/>
      <c r="K677" s="4"/>
      <c r="L677" s="4"/>
      <c r="M677" s="4"/>
      <c r="N677" s="4"/>
      <c r="O677" s="29"/>
      <c r="P677" s="4"/>
      <c r="Q677" s="4"/>
      <c r="R677" s="4"/>
      <c r="T677" s="17"/>
      <c r="V677" s="18"/>
      <c r="W677" s="19"/>
      <c r="X677" s="17"/>
      <c r="AB677" s="23"/>
    </row>
    <row r="678">
      <c r="A678" s="4"/>
      <c r="K678" s="4"/>
      <c r="L678" s="4"/>
      <c r="M678" s="4"/>
      <c r="N678" s="4"/>
      <c r="O678" s="29"/>
      <c r="P678" s="4"/>
      <c r="Q678" s="4"/>
      <c r="R678" s="4"/>
      <c r="T678" s="17"/>
      <c r="V678" s="18"/>
      <c r="W678" s="19"/>
      <c r="X678" s="17"/>
      <c r="AB678" s="23"/>
    </row>
    <row r="679">
      <c r="A679" s="4"/>
      <c r="K679" s="4"/>
      <c r="L679" s="4"/>
      <c r="M679" s="4"/>
      <c r="N679" s="4"/>
      <c r="O679" s="29"/>
      <c r="P679" s="4"/>
      <c r="Q679" s="4"/>
      <c r="R679" s="4"/>
      <c r="T679" s="17"/>
      <c r="V679" s="18"/>
      <c r="W679" s="19"/>
      <c r="X679" s="17"/>
      <c r="AB679" s="23"/>
    </row>
    <row r="680">
      <c r="A680" s="4"/>
      <c r="K680" s="4"/>
      <c r="L680" s="4"/>
      <c r="M680" s="4"/>
      <c r="N680" s="4"/>
      <c r="O680" s="29"/>
      <c r="P680" s="4"/>
      <c r="Q680" s="4"/>
      <c r="R680" s="4"/>
      <c r="T680" s="17"/>
      <c r="V680" s="18"/>
      <c r="W680" s="19"/>
      <c r="X680" s="17"/>
      <c r="AB680" s="23"/>
    </row>
    <row r="681">
      <c r="A681" s="4"/>
      <c r="K681" s="4"/>
      <c r="L681" s="4"/>
      <c r="M681" s="4"/>
      <c r="N681" s="4"/>
      <c r="O681" s="29"/>
      <c r="P681" s="4"/>
      <c r="Q681" s="4"/>
      <c r="R681" s="4"/>
      <c r="T681" s="17"/>
      <c r="V681" s="18"/>
      <c r="W681" s="19"/>
      <c r="X681" s="17"/>
      <c r="AB681" s="23"/>
    </row>
    <row r="682">
      <c r="A682" s="4"/>
      <c r="K682" s="4"/>
      <c r="L682" s="4"/>
      <c r="M682" s="4"/>
      <c r="N682" s="4"/>
      <c r="O682" s="29"/>
      <c r="P682" s="4"/>
      <c r="Q682" s="4"/>
      <c r="R682" s="4"/>
      <c r="T682" s="17"/>
      <c r="V682" s="18"/>
      <c r="W682" s="19"/>
      <c r="X682" s="17"/>
      <c r="AB682" s="23"/>
    </row>
    <row r="683">
      <c r="A683" s="4"/>
      <c r="K683" s="4"/>
      <c r="L683" s="4"/>
      <c r="M683" s="4"/>
      <c r="N683" s="4"/>
      <c r="O683" s="29"/>
      <c r="P683" s="4"/>
      <c r="Q683" s="4"/>
      <c r="R683" s="4"/>
      <c r="T683" s="17"/>
      <c r="V683" s="18"/>
      <c r="W683" s="19"/>
      <c r="X683" s="17"/>
      <c r="AB683" s="23"/>
    </row>
    <row r="684">
      <c r="A684" s="4"/>
      <c r="K684" s="4"/>
      <c r="L684" s="4"/>
      <c r="M684" s="4"/>
      <c r="N684" s="4"/>
      <c r="O684" s="29"/>
      <c r="P684" s="4"/>
      <c r="Q684" s="4"/>
      <c r="R684" s="4"/>
      <c r="T684" s="17"/>
      <c r="V684" s="18"/>
      <c r="W684" s="19"/>
      <c r="X684" s="17"/>
      <c r="AB684" s="23"/>
    </row>
    <row r="685">
      <c r="A685" s="4"/>
      <c r="K685" s="4"/>
      <c r="L685" s="4"/>
      <c r="M685" s="4"/>
      <c r="N685" s="4"/>
      <c r="O685" s="29"/>
      <c r="P685" s="4"/>
      <c r="Q685" s="4"/>
      <c r="R685" s="4"/>
      <c r="T685" s="17"/>
      <c r="V685" s="18"/>
      <c r="W685" s="19"/>
      <c r="X685" s="17"/>
      <c r="AB685" s="23"/>
    </row>
    <row r="686">
      <c r="A686" s="4"/>
      <c r="K686" s="4"/>
      <c r="L686" s="4"/>
      <c r="M686" s="4"/>
      <c r="N686" s="4"/>
      <c r="O686" s="29"/>
      <c r="P686" s="4"/>
      <c r="Q686" s="4"/>
      <c r="R686" s="4"/>
      <c r="T686" s="17"/>
      <c r="V686" s="18"/>
      <c r="W686" s="19"/>
      <c r="X686" s="17"/>
      <c r="AB686" s="23"/>
    </row>
    <row r="687">
      <c r="A687" s="4"/>
      <c r="K687" s="4"/>
      <c r="L687" s="4"/>
      <c r="M687" s="4"/>
      <c r="N687" s="4"/>
      <c r="O687" s="29"/>
      <c r="P687" s="4"/>
      <c r="Q687" s="4"/>
      <c r="R687" s="4"/>
      <c r="T687" s="17"/>
      <c r="V687" s="18"/>
      <c r="W687" s="19"/>
      <c r="X687" s="17"/>
      <c r="AB687" s="23"/>
    </row>
    <row r="688">
      <c r="A688" s="4"/>
      <c r="K688" s="4"/>
      <c r="L688" s="4"/>
      <c r="M688" s="4"/>
      <c r="N688" s="4"/>
      <c r="O688" s="29"/>
      <c r="P688" s="4"/>
      <c r="Q688" s="4"/>
      <c r="R688" s="4"/>
      <c r="T688" s="17"/>
      <c r="V688" s="18"/>
      <c r="W688" s="19"/>
      <c r="X688" s="17"/>
      <c r="AB688" s="23"/>
    </row>
    <row r="689">
      <c r="A689" s="4"/>
      <c r="K689" s="4"/>
      <c r="L689" s="4"/>
      <c r="M689" s="4"/>
      <c r="N689" s="4"/>
      <c r="O689" s="29"/>
      <c r="P689" s="4"/>
      <c r="Q689" s="4"/>
      <c r="R689" s="4"/>
      <c r="T689" s="17"/>
      <c r="V689" s="18"/>
      <c r="W689" s="19"/>
      <c r="X689" s="17"/>
      <c r="AB689" s="23"/>
    </row>
    <row r="690">
      <c r="A690" s="4"/>
      <c r="K690" s="4"/>
      <c r="L690" s="4"/>
      <c r="M690" s="4"/>
      <c r="N690" s="4"/>
      <c r="O690" s="29"/>
      <c r="P690" s="4"/>
      <c r="Q690" s="4"/>
      <c r="R690" s="4"/>
      <c r="T690" s="17"/>
      <c r="V690" s="18"/>
      <c r="W690" s="19"/>
      <c r="X690" s="17"/>
      <c r="AB690" s="23"/>
    </row>
    <row r="691">
      <c r="A691" s="4"/>
      <c r="K691" s="4"/>
      <c r="L691" s="4"/>
      <c r="M691" s="4"/>
      <c r="N691" s="4"/>
      <c r="O691" s="29"/>
      <c r="P691" s="4"/>
      <c r="Q691" s="4"/>
      <c r="R691" s="4"/>
      <c r="T691" s="17"/>
      <c r="V691" s="18"/>
      <c r="W691" s="19"/>
      <c r="X691" s="17"/>
      <c r="AB691" s="23"/>
    </row>
    <row r="692">
      <c r="A692" s="4"/>
      <c r="K692" s="4"/>
      <c r="L692" s="4"/>
      <c r="M692" s="4"/>
      <c r="N692" s="4"/>
      <c r="O692" s="29"/>
      <c r="P692" s="4"/>
      <c r="Q692" s="4"/>
      <c r="R692" s="4"/>
      <c r="T692" s="17"/>
      <c r="V692" s="18"/>
      <c r="W692" s="19"/>
      <c r="X692" s="17"/>
      <c r="AB692" s="23"/>
    </row>
    <row r="693">
      <c r="A693" s="4"/>
      <c r="K693" s="4"/>
      <c r="L693" s="4"/>
      <c r="M693" s="4"/>
      <c r="N693" s="4"/>
      <c r="O693" s="29"/>
      <c r="P693" s="4"/>
      <c r="Q693" s="4"/>
      <c r="R693" s="4"/>
      <c r="T693" s="17"/>
      <c r="V693" s="18"/>
      <c r="W693" s="19"/>
      <c r="X693" s="17"/>
      <c r="AB693" s="23"/>
    </row>
    <row r="694">
      <c r="A694" s="4"/>
      <c r="K694" s="4"/>
      <c r="L694" s="4"/>
      <c r="M694" s="4"/>
      <c r="N694" s="4"/>
      <c r="O694" s="29"/>
      <c r="P694" s="4"/>
      <c r="Q694" s="4"/>
      <c r="R694" s="4"/>
      <c r="T694" s="17"/>
      <c r="V694" s="18"/>
      <c r="W694" s="19"/>
      <c r="X694" s="17"/>
      <c r="AB694" s="23"/>
    </row>
    <row r="695">
      <c r="A695" s="4"/>
      <c r="K695" s="4"/>
      <c r="L695" s="4"/>
      <c r="M695" s="4"/>
      <c r="N695" s="4"/>
      <c r="O695" s="29"/>
      <c r="P695" s="4"/>
      <c r="Q695" s="4"/>
      <c r="R695" s="4"/>
      <c r="T695" s="17"/>
      <c r="V695" s="18"/>
      <c r="W695" s="19"/>
      <c r="X695" s="17"/>
      <c r="AB695" s="23"/>
    </row>
    <row r="696">
      <c r="A696" s="4"/>
      <c r="K696" s="4"/>
      <c r="L696" s="4"/>
      <c r="M696" s="4"/>
      <c r="N696" s="4"/>
      <c r="O696" s="29"/>
      <c r="P696" s="4"/>
      <c r="Q696" s="4"/>
      <c r="R696" s="4"/>
      <c r="T696" s="17"/>
      <c r="V696" s="18"/>
      <c r="W696" s="19"/>
      <c r="X696" s="17"/>
      <c r="AB696" s="23"/>
    </row>
    <row r="697">
      <c r="A697" s="4"/>
      <c r="K697" s="4"/>
      <c r="L697" s="4"/>
      <c r="M697" s="4"/>
      <c r="N697" s="4"/>
      <c r="O697" s="29"/>
      <c r="P697" s="4"/>
      <c r="Q697" s="4"/>
      <c r="R697" s="4"/>
      <c r="T697" s="17"/>
      <c r="V697" s="18"/>
      <c r="W697" s="19"/>
      <c r="X697" s="17"/>
      <c r="AB697" s="23"/>
    </row>
    <row r="698">
      <c r="A698" s="4"/>
      <c r="K698" s="4"/>
      <c r="L698" s="4"/>
      <c r="M698" s="4"/>
      <c r="N698" s="4"/>
      <c r="O698" s="29"/>
      <c r="P698" s="4"/>
      <c r="Q698" s="4"/>
      <c r="R698" s="4"/>
      <c r="T698" s="17"/>
      <c r="V698" s="18"/>
      <c r="W698" s="19"/>
      <c r="X698" s="17"/>
      <c r="AB698" s="23"/>
    </row>
    <row r="699">
      <c r="A699" s="4"/>
      <c r="K699" s="4"/>
      <c r="L699" s="4"/>
      <c r="M699" s="4"/>
      <c r="N699" s="4"/>
      <c r="O699" s="29"/>
      <c r="P699" s="4"/>
      <c r="Q699" s="4"/>
      <c r="R699" s="4"/>
      <c r="T699" s="17"/>
      <c r="V699" s="18"/>
      <c r="W699" s="19"/>
      <c r="X699" s="17"/>
      <c r="AB699" s="23"/>
    </row>
    <row r="700">
      <c r="A700" s="4"/>
      <c r="K700" s="4"/>
      <c r="L700" s="4"/>
      <c r="M700" s="4"/>
      <c r="N700" s="4"/>
      <c r="O700" s="29"/>
      <c r="P700" s="4"/>
      <c r="Q700" s="4"/>
      <c r="R700" s="4"/>
      <c r="T700" s="17"/>
      <c r="V700" s="18"/>
      <c r="W700" s="19"/>
      <c r="X700" s="17"/>
      <c r="AB700" s="23"/>
    </row>
    <row r="701">
      <c r="A701" s="4"/>
      <c r="K701" s="4"/>
      <c r="L701" s="4"/>
      <c r="M701" s="4"/>
      <c r="N701" s="4"/>
      <c r="O701" s="29"/>
      <c r="P701" s="4"/>
      <c r="Q701" s="4"/>
      <c r="R701" s="4"/>
      <c r="T701" s="17"/>
      <c r="V701" s="18"/>
      <c r="W701" s="19"/>
      <c r="X701" s="17"/>
      <c r="AB701" s="23"/>
    </row>
    <row r="702">
      <c r="A702" s="4"/>
      <c r="K702" s="4"/>
      <c r="L702" s="4"/>
      <c r="M702" s="4"/>
      <c r="N702" s="4"/>
      <c r="O702" s="29"/>
      <c r="P702" s="4"/>
      <c r="Q702" s="4"/>
      <c r="R702" s="4"/>
      <c r="T702" s="17"/>
      <c r="V702" s="18"/>
      <c r="W702" s="19"/>
      <c r="X702" s="17"/>
      <c r="AB702" s="23"/>
    </row>
    <row r="703">
      <c r="A703" s="4"/>
      <c r="K703" s="4"/>
      <c r="L703" s="4"/>
      <c r="M703" s="4"/>
      <c r="N703" s="4"/>
      <c r="O703" s="29"/>
      <c r="P703" s="4"/>
      <c r="Q703" s="4"/>
      <c r="R703" s="4"/>
      <c r="T703" s="17"/>
      <c r="V703" s="18"/>
      <c r="W703" s="19"/>
      <c r="X703" s="17"/>
      <c r="AB703" s="23"/>
    </row>
    <row r="704">
      <c r="A704" s="4"/>
      <c r="K704" s="4"/>
      <c r="L704" s="4"/>
      <c r="M704" s="4"/>
      <c r="N704" s="4"/>
      <c r="O704" s="29"/>
      <c r="P704" s="4"/>
      <c r="Q704" s="4"/>
      <c r="R704" s="4"/>
      <c r="T704" s="17"/>
      <c r="V704" s="18"/>
      <c r="W704" s="19"/>
      <c r="X704" s="17"/>
      <c r="AB704" s="23"/>
    </row>
    <row r="705">
      <c r="A705" s="4"/>
      <c r="K705" s="4"/>
      <c r="L705" s="4"/>
      <c r="M705" s="4"/>
      <c r="N705" s="4"/>
      <c r="O705" s="29"/>
      <c r="P705" s="4"/>
      <c r="Q705" s="4"/>
      <c r="R705" s="4"/>
      <c r="T705" s="17"/>
      <c r="V705" s="18"/>
      <c r="W705" s="19"/>
      <c r="X705" s="17"/>
      <c r="AB705" s="23"/>
    </row>
    <row r="706">
      <c r="A706" s="4"/>
      <c r="K706" s="4"/>
      <c r="L706" s="4"/>
      <c r="M706" s="4"/>
      <c r="N706" s="4"/>
      <c r="O706" s="29"/>
      <c r="P706" s="4"/>
      <c r="Q706" s="4"/>
      <c r="R706" s="4"/>
      <c r="T706" s="17"/>
      <c r="V706" s="18"/>
      <c r="W706" s="19"/>
      <c r="X706" s="17"/>
      <c r="AB706" s="23"/>
    </row>
    <row r="707">
      <c r="A707" s="4"/>
      <c r="K707" s="4"/>
      <c r="L707" s="4"/>
      <c r="M707" s="4"/>
      <c r="N707" s="4"/>
      <c r="O707" s="29"/>
      <c r="P707" s="4"/>
      <c r="Q707" s="4"/>
      <c r="R707" s="4"/>
      <c r="T707" s="17"/>
      <c r="V707" s="18"/>
      <c r="W707" s="19"/>
      <c r="X707" s="17"/>
      <c r="AB707" s="23"/>
    </row>
    <row r="708">
      <c r="A708" s="4"/>
      <c r="K708" s="4"/>
      <c r="L708" s="4"/>
      <c r="M708" s="4"/>
      <c r="N708" s="4"/>
      <c r="O708" s="29"/>
      <c r="P708" s="4"/>
      <c r="Q708" s="4"/>
      <c r="R708" s="4"/>
      <c r="T708" s="17"/>
      <c r="V708" s="18"/>
      <c r="W708" s="19"/>
      <c r="X708" s="17"/>
      <c r="AB708" s="23"/>
    </row>
    <row r="709">
      <c r="A709" s="4"/>
      <c r="K709" s="4"/>
      <c r="L709" s="4"/>
      <c r="M709" s="4"/>
      <c r="N709" s="4"/>
      <c r="O709" s="29"/>
      <c r="P709" s="4"/>
      <c r="Q709" s="4"/>
      <c r="R709" s="4"/>
      <c r="T709" s="17"/>
      <c r="V709" s="18"/>
      <c r="W709" s="19"/>
      <c r="X709" s="17"/>
      <c r="AB709" s="23"/>
    </row>
    <row r="710">
      <c r="A710" s="4"/>
      <c r="K710" s="4"/>
      <c r="L710" s="4"/>
      <c r="M710" s="4"/>
      <c r="N710" s="4"/>
      <c r="O710" s="29"/>
      <c r="P710" s="4"/>
      <c r="Q710" s="4"/>
      <c r="R710" s="4"/>
      <c r="T710" s="17"/>
      <c r="V710" s="18"/>
      <c r="W710" s="19"/>
      <c r="X710" s="17"/>
      <c r="AB710" s="23"/>
    </row>
    <row r="711">
      <c r="A711" s="4"/>
      <c r="K711" s="4"/>
      <c r="L711" s="4"/>
      <c r="M711" s="4"/>
      <c r="N711" s="4"/>
      <c r="O711" s="29"/>
      <c r="P711" s="4"/>
      <c r="Q711" s="4"/>
      <c r="R711" s="4"/>
      <c r="T711" s="17"/>
      <c r="V711" s="18"/>
      <c r="W711" s="19"/>
      <c r="X711" s="17"/>
      <c r="AB711" s="23"/>
    </row>
    <row r="712">
      <c r="A712" s="4"/>
      <c r="K712" s="4"/>
      <c r="L712" s="4"/>
      <c r="M712" s="4"/>
      <c r="N712" s="4"/>
      <c r="O712" s="29"/>
      <c r="P712" s="4"/>
      <c r="Q712" s="4"/>
      <c r="R712" s="4"/>
      <c r="T712" s="17"/>
      <c r="V712" s="18"/>
      <c r="W712" s="19"/>
      <c r="X712" s="17"/>
      <c r="AB712" s="23"/>
    </row>
    <row r="713">
      <c r="A713" s="4"/>
      <c r="K713" s="4"/>
      <c r="L713" s="4"/>
      <c r="M713" s="4"/>
      <c r="N713" s="4"/>
      <c r="O713" s="29"/>
      <c r="P713" s="4"/>
      <c r="Q713" s="4"/>
      <c r="R713" s="4"/>
      <c r="T713" s="17"/>
      <c r="V713" s="18"/>
      <c r="W713" s="19"/>
      <c r="X713" s="17"/>
      <c r="AB713" s="23"/>
    </row>
    <row r="714">
      <c r="A714" s="4"/>
      <c r="K714" s="4"/>
      <c r="L714" s="4"/>
      <c r="M714" s="4"/>
      <c r="N714" s="4"/>
      <c r="O714" s="29"/>
      <c r="P714" s="4"/>
      <c r="Q714" s="4"/>
      <c r="R714" s="4"/>
      <c r="T714" s="17"/>
      <c r="V714" s="18"/>
      <c r="W714" s="19"/>
      <c r="X714" s="17"/>
      <c r="AB714" s="23"/>
    </row>
    <row r="715">
      <c r="A715" s="4"/>
      <c r="K715" s="4"/>
      <c r="L715" s="4"/>
      <c r="M715" s="4"/>
      <c r="N715" s="4"/>
      <c r="O715" s="29"/>
      <c r="P715" s="4"/>
      <c r="Q715" s="4"/>
      <c r="R715" s="4"/>
      <c r="T715" s="17"/>
      <c r="V715" s="18"/>
      <c r="W715" s="19"/>
      <c r="X715" s="17"/>
      <c r="AB715" s="23"/>
    </row>
    <row r="716">
      <c r="A716" s="4"/>
      <c r="K716" s="4"/>
      <c r="L716" s="4"/>
      <c r="M716" s="4"/>
      <c r="N716" s="4"/>
      <c r="O716" s="29"/>
      <c r="P716" s="4"/>
      <c r="Q716" s="4"/>
      <c r="R716" s="4"/>
      <c r="T716" s="17"/>
      <c r="V716" s="18"/>
      <c r="W716" s="19"/>
      <c r="X716" s="17"/>
      <c r="AB716" s="23"/>
    </row>
    <row r="717">
      <c r="A717" s="4"/>
      <c r="K717" s="4"/>
      <c r="L717" s="4"/>
      <c r="M717" s="4"/>
      <c r="N717" s="4"/>
      <c r="O717" s="29"/>
      <c r="P717" s="4"/>
      <c r="Q717" s="4"/>
      <c r="R717" s="4"/>
      <c r="T717" s="17"/>
      <c r="V717" s="18"/>
      <c r="W717" s="19"/>
      <c r="X717" s="17"/>
      <c r="AB717" s="23"/>
    </row>
    <row r="718">
      <c r="A718" s="4"/>
      <c r="K718" s="4"/>
      <c r="L718" s="4"/>
      <c r="M718" s="4"/>
      <c r="N718" s="4"/>
      <c r="O718" s="29"/>
      <c r="P718" s="4"/>
      <c r="Q718" s="4"/>
      <c r="R718" s="4"/>
      <c r="T718" s="17"/>
      <c r="V718" s="18"/>
      <c r="W718" s="19"/>
      <c r="X718" s="17"/>
      <c r="AB718" s="23"/>
    </row>
    <row r="719">
      <c r="A719" s="4"/>
      <c r="K719" s="4"/>
      <c r="L719" s="4"/>
      <c r="M719" s="4"/>
      <c r="N719" s="4"/>
      <c r="O719" s="29"/>
      <c r="P719" s="4"/>
      <c r="Q719" s="4"/>
      <c r="R719" s="4"/>
      <c r="T719" s="17"/>
      <c r="V719" s="18"/>
      <c r="W719" s="19"/>
      <c r="X719" s="17"/>
      <c r="AB719" s="23"/>
    </row>
    <row r="720">
      <c r="A720" s="4"/>
      <c r="K720" s="4"/>
      <c r="L720" s="4"/>
      <c r="M720" s="4"/>
      <c r="N720" s="4"/>
      <c r="O720" s="29"/>
      <c r="P720" s="4"/>
      <c r="Q720" s="4"/>
      <c r="R720" s="4"/>
      <c r="T720" s="17"/>
      <c r="V720" s="18"/>
      <c r="W720" s="19"/>
      <c r="X720" s="17"/>
      <c r="AB720" s="23"/>
    </row>
    <row r="721">
      <c r="A721" s="4"/>
      <c r="K721" s="4"/>
      <c r="L721" s="4"/>
      <c r="M721" s="4"/>
      <c r="N721" s="4"/>
      <c r="O721" s="29"/>
      <c r="P721" s="4"/>
      <c r="Q721" s="4"/>
      <c r="R721" s="4"/>
      <c r="T721" s="17"/>
      <c r="V721" s="18"/>
      <c r="W721" s="19"/>
      <c r="X721" s="17"/>
      <c r="AB721" s="23"/>
    </row>
    <row r="722">
      <c r="A722" s="4"/>
      <c r="K722" s="4"/>
      <c r="L722" s="4"/>
      <c r="M722" s="4"/>
      <c r="N722" s="4"/>
      <c r="O722" s="29"/>
      <c r="P722" s="4"/>
      <c r="Q722" s="4"/>
      <c r="R722" s="4"/>
      <c r="T722" s="17"/>
      <c r="V722" s="18"/>
      <c r="W722" s="19"/>
      <c r="X722" s="17"/>
      <c r="AB722" s="23"/>
    </row>
    <row r="723">
      <c r="A723" s="4"/>
      <c r="K723" s="4"/>
      <c r="L723" s="4"/>
      <c r="M723" s="4"/>
      <c r="N723" s="4"/>
      <c r="O723" s="29"/>
      <c r="P723" s="4"/>
      <c r="Q723" s="4"/>
      <c r="R723" s="4"/>
      <c r="T723" s="17"/>
      <c r="V723" s="18"/>
      <c r="W723" s="19"/>
      <c r="X723" s="17"/>
      <c r="AB723" s="23"/>
    </row>
    <row r="724">
      <c r="A724" s="4"/>
      <c r="K724" s="4"/>
      <c r="L724" s="4"/>
      <c r="M724" s="4"/>
      <c r="N724" s="4"/>
      <c r="O724" s="29"/>
      <c r="P724" s="4"/>
      <c r="Q724" s="4"/>
      <c r="R724" s="4"/>
      <c r="T724" s="17"/>
      <c r="V724" s="18"/>
      <c r="W724" s="19"/>
      <c r="X724" s="17"/>
      <c r="AB724" s="23"/>
    </row>
    <row r="725">
      <c r="A725" s="4"/>
      <c r="K725" s="4"/>
      <c r="L725" s="4"/>
      <c r="M725" s="4"/>
      <c r="N725" s="4"/>
      <c r="O725" s="29"/>
      <c r="P725" s="4"/>
      <c r="Q725" s="4"/>
      <c r="R725" s="4"/>
      <c r="T725" s="17"/>
      <c r="V725" s="18"/>
      <c r="W725" s="19"/>
      <c r="X725" s="17"/>
      <c r="AB725" s="23"/>
    </row>
    <row r="726">
      <c r="A726" s="4"/>
      <c r="K726" s="4"/>
      <c r="L726" s="4"/>
      <c r="M726" s="4"/>
      <c r="N726" s="4"/>
      <c r="O726" s="29"/>
      <c r="P726" s="4"/>
      <c r="Q726" s="4"/>
      <c r="R726" s="4"/>
      <c r="T726" s="17"/>
      <c r="V726" s="18"/>
      <c r="W726" s="19"/>
      <c r="X726" s="17"/>
      <c r="AB726" s="23"/>
    </row>
    <row r="727">
      <c r="A727" s="4"/>
      <c r="K727" s="4"/>
      <c r="L727" s="4"/>
      <c r="M727" s="4"/>
      <c r="N727" s="4"/>
      <c r="O727" s="29"/>
      <c r="P727" s="4"/>
      <c r="Q727" s="4"/>
      <c r="R727" s="4"/>
      <c r="T727" s="17"/>
      <c r="V727" s="18"/>
      <c r="W727" s="19"/>
      <c r="X727" s="17"/>
      <c r="AB727" s="23"/>
    </row>
    <row r="728">
      <c r="A728" s="4"/>
      <c r="K728" s="4"/>
      <c r="L728" s="4"/>
      <c r="M728" s="4"/>
      <c r="N728" s="4"/>
      <c r="O728" s="29"/>
      <c r="P728" s="4"/>
      <c r="Q728" s="4"/>
      <c r="R728" s="4"/>
      <c r="T728" s="17"/>
      <c r="V728" s="18"/>
      <c r="W728" s="19"/>
      <c r="X728" s="17"/>
      <c r="AB728" s="23"/>
    </row>
    <row r="729">
      <c r="A729" s="4"/>
      <c r="K729" s="4"/>
      <c r="L729" s="4"/>
      <c r="M729" s="4"/>
      <c r="N729" s="4"/>
      <c r="O729" s="29"/>
      <c r="P729" s="4"/>
      <c r="Q729" s="4"/>
      <c r="R729" s="4"/>
      <c r="T729" s="17"/>
      <c r="V729" s="18"/>
      <c r="W729" s="19"/>
      <c r="X729" s="17"/>
      <c r="AB729" s="23"/>
    </row>
    <row r="730">
      <c r="A730" s="4"/>
      <c r="K730" s="4"/>
      <c r="L730" s="4"/>
      <c r="M730" s="4"/>
      <c r="N730" s="4"/>
      <c r="O730" s="29"/>
      <c r="P730" s="4"/>
      <c r="Q730" s="4"/>
      <c r="R730" s="4"/>
      <c r="T730" s="17"/>
      <c r="V730" s="18"/>
      <c r="W730" s="19"/>
      <c r="X730" s="17"/>
      <c r="AB730" s="23"/>
    </row>
    <row r="731">
      <c r="A731" s="4"/>
      <c r="K731" s="4"/>
      <c r="L731" s="4"/>
      <c r="M731" s="4"/>
      <c r="N731" s="4"/>
      <c r="O731" s="29"/>
      <c r="P731" s="4"/>
      <c r="Q731" s="4"/>
      <c r="R731" s="4"/>
      <c r="T731" s="17"/>
      <c r="V731" s="18"/>
      <c r="W731" s="19"/>
      <c r="X731" s="17"/>
      <c r="AB731" s="23"/>
    </row>
    <row r="732">
      <c r="A732" s="4"/>
      <c r="K732" s="4"/>
      <c r="L732" s="4"/>
      <c r="M732" s="4"/>
      <c r="N732" s="4"/>
      <c r="O732" s="29"/>
      <c r="P732" s="4"/>
      <c r="Q732" s="4"/>
      <c r="R732" s="4"/>
      <c r="T732" s="17"/>
      <c r="V732" s="18"/>
      <c r="W732" s="19"/>
      <c r="X732" s="17"/>
      <c r="AB732" s="23"/>
    </row>
    <row r="733">
      <c r="A733" s="4"/>
      <c r="K733" s="4"/>
      <c r="L733" s="4"/>
      <c r="M733" s="4"/>
      <c r="N733" s="4"/>
      <c r="O733" s="29"/>
      <c r="P733" s="4"/>
      <c r="Q733" s="4"/>
      <c r="R733" s="4"/>
      <c r="T733" s="17"/>
      <c r="V733" s="18"/>
      <c r="W733" s="19"/>
      <c r="X733" s="17"/>
      <c r="AB733" s="23"/>
    </row>
    <row r="734">
      <c r="A734" s="4"/>
      <c r="K734" s="4"/>
      <c r="L734" s="4"/>
      <c r="M734" s="4"/>
      <c r="N734" s="4"/>
      <c r="O734" s="29"/>
      <c r="P734" s="4"/>
      <c r="Q734" s="4"/>
      <c r="R734" s="4"/>
      <c r="T734" s="17"/>
      <c r="V734" s="18"/>
      <c r="W734" s="19"/>
      <c r="X734" s="17"/>
      <c r="AB734" s="23"/>
    </row>
    <row r="735">
      <c r="A735" s="4"/>
      <c r="K735" s="4"/>
      <c r="L735" s="4"/>
      <c r="M735" s="4"/>
      <c r="N735" s="4"/>
      <c r="O735" s="29"/>
      <c r="P735" s="4"/>
      <c r="Q735" s="4"/>
      <c r="R735" s="4"/>
      <c r="T735" s="17"/>
      <c r="V735" s="18"/>
      <c r="W735" s="19"/>
      <c r="X735" s="17"/>
      <c r="AB735" s="23"/>
    </row>
    <row r="736">
      <c r="A736" s="4"/>
      <c r="K736" s="4"/>
      <c r="L736" s="4"/>
      <c r="M736" s="4"/>
      <c r="N736" s="4"/>
      <c r="O736" s="29"/>
      <c r="P736" s="4"/>
      <c r="Q736" s="4"/>
      <c r="R736" s="4"/>
      <c r="T736" s="17"/>
      <c r="V736" s="18"/>
      <c r="W736" s="19"/>
      <c r="X736" s="17"/>
      <c r="AB736" s="23"/>
    </row>
    <row r="737">
      <c r="A737" s="4"/>
      <c r="K737" s="4"/>
      <c r="L737" s="4"/>
      <c r="M737" s="4"/>
      <c r="N737" s="4"/>
      <c r="O737" s="29"/>
      <c r="P737" s="4"/>
      <c r="Q737" s="4"/>
      <c r="R737" s="4"/>
      <c r="T737" s="17"/>
      <c r="V737" s="18"/>
      <c r="W737" s="19"/>
      <c r="X737" s="17"/>
      <c r="AB737" s="23"/>
    </row>
    <row r="738">
      <c r="A738" s="4"/>
      <c r="K738" s="4"/>
      <c r="L738" s="4"/>
      <c r="M738" s="4"/>
      <c r="N738" s="4"/>
      <c r="O738" s="29"/>
      <c r="P738" s="4"/>
      <c r="Q738" s="4"/>
      <c r="R738" s="4"/>
      <c r="T738" s="17"/>
      <c r="V738" s="18"/>
      <c r="W738" s="19"/>
      <c r="X738" s="17"/>
      <c r="AB738" s="23"/>
    </row>
    <row r="739">
      <c r="A739" s="4"/>
      <c r="K739" s="4"/>
      <c r="L739" s="4"/>
      <c r="M739" s="4"/>
      <c r="N739" s="4"/>
      <c r="O739" s="29"/>
      <c r="P739" s="4"/>
      <c r="Q739" s="4"/>
      <c r="R739" s="4"/>
      <c r="T739" s="17"/>
      <c r="V739" s="18"/>
      <c r="W739" s="19"/>
      <c r="X739" s="17"/>
      <c r="AB739" s="23"/>
    </row>
    <row r="740">
      <c r="A740" s="4"/>
      <c r="K740" s="4"/>
      <c r="L740" s="4"/>
      <c r="M740" s="4"/>
      <c r="N740" s="4"/>
      <c r="O740" s="29"/>
      <c r="P740" s="4"/>
      <c r="Q740" s="4"/>
      <c r="R740" s="4"/>
      <c r="T740" s="17"/>
      <c r="V740" s="18"/>
      <c r="W740" s="19"/>
      <c r="X740" s="17"/>
      <c r="AB740" s="23"/>
    </row>
    <row r="741">
      <c r="A741" s="4"/>
      <c r="K741" s="4"/>
      <c r="L741" s="4"/>
      <c r="M741" s="4"/>
      <c r="N741" s="4"/>
      <c r="O741" s="29"/>
      <c r="P741" s="4"/>
      <c r="Q741" s="4"/>
      <c r="R741" s="4"/>
      <c r="T741" s="17"/>
      <c r="V741" s="18"/>
      <c r="W741" s="19"/>
      <c r="X741" s="17"/>
      <c r="AB741" s="23"/>
    </row>
    <row r="742">
      <c r="A742" s="4"/>
      <c r="K742" s="4"/>
      <c r="L742" s="4"/>
      <c r="M742" s="4"/>
      <c r="N742" s="4"/>
      <c r="O742" s="29"/>
      <c r="P742" s="4"/>
      <c r="Q742" s="4"/>
      <c r="R742" s="4"/>
      <c r="T742" s="17"/>
      <c r="V742" s="18"/>
      <c r="W742" s="19"/>
      <c r="X742" s="17"/>
      <c r="AB742" s="23"/>
    </row>
    <row r="743">
      <c r="A743" s="4"/>
      <c r="K743" s="4"/>
      <c r="L743" s="4"/>
      <c r="M743" s="4"/>
      <c r="N743" s="4"/>
      <c r="O743" s="29"/>
      <c r="P743" s="4"/>
      <c r="Q743" s="4"/>
      <c r="R743" s="4"/>
      <c r="T743" s="17"/>
      <c r="V743" s="18"/>
      <c r="W743" s="19"/>
      <c r="X743" s="17"/>
      <c r="AB743" s="23"/>
    </row>
    <row r="744">
      <c r="A744" s="4"/>
      <c r="K744" s="4"/>
      <c r="L744" s="4"/>
      <c r="M744" s="4"/>
      <c r="N744" s="4"/>
      <c r="O744" s="29"/>
      <c r="P744" s="4"/>
      <c r="Q744" s="4"/>
      <c r="R744" s="4"/>
      <c r="T744" s="17"/>
      <c r="V744" s="18"/>
      <c r="W744" s="19"/>
      <c r="X744" s="17"/>
      <c r="AB744" s="23"/>
    </row>
    <row r="745">
      <c r="A745" s="4"/>
      <c r="K745" s="4"/>
      <c r="L745" s="4"/>
      <c r="M745" s="4"/>
      <c r="N745" s="4"/>
      <c r="O745" s="29"/>
      <c r="P745" s="4"/>
      <c r="Q745" s="4"/>
      <c r="R745" s="4"/>
      <c r="T745" s="17"/>
      <c r="V745" s="18"/>
      <c r="W745" s="19"/>
      <c r="X745" s="17"/>
      <c r="AB745" s="23"/>
    </row>
    <row r="746">
      <c r="A746" s="4"/>
      <c r="K746" s="4"/>
      <c r="L746" s="4"/>
      <c r="M746" s="4"/>
      <c r="N746" s="4"/>
      <c r="O746" s="29"/>
      <c r="P746" s="4"/>
      <c r="Q746" s="4"/>
      <c r="R746" s="4"/>
      <c r="T746" s="17"/>
      <c r="V746" s="18"/>
      <c r="W746" s="19"/>
      <c r="X746" s="17"/>
      <c r="AB746" s="23"/>
    </row>
    <row r="747">
      <c r="A747" s="4"/>
      <c r="K747" s="4"/>
      <c r="L747" s="4"/>
      <c r="M747" s="4"/>
      <c r="N747" s="4"/>
      <c r="O747" s="29"/>
      <c r="P747" s="4"/>
      <c r="Q747" s="4"/>
      <c r="R747" s="4"/>
      <c r="T747" s="17"/>
      <c r="V747" s="18"/>
      <c r="W747" s="19"/>
      <c r="X747" s="17"/>
      <c r="AB747" s="23"/>
    </row>
    <row r="748">
      <c r="A748" s="4"/>
      <c r="K748" s="4"/>
      <c r="L748" s="4"/>
      <c r="M748" s="4"/>
      <c r="N748" s="4"/>
      <c r="O748" s="29"/>
      <c r="P748" s="4"/>
      <c r="Q748" s="4"/>
      <c r="R748" s="4"/>
      <c r="T748" s="17"/>
      <c r="V748" s="18"/>
      <c r="W748" s="19"/>
      <c r="X748" s="17"/>
      <c r="AB748" s="23"/>
    </row>
    <row r="749">
      <c r="A749" s="4"/>
      <c r="K749" s="4"/>
      <c r="L749" s="4"/>
      <c r="M749" s="4"/>
      <c r="N749" s="4"/>
      <c r="O749" s="29"/>
      <c r="P749" s="4"/>
      <c r="Q749" s="4"/>
      <c r="R749" s="4"/>
      <c r="T749" s="17"/>
      <c r="V749" s="18"/>
      <c r="W749" s="19"/>
      <c r="X749" s="17"/>
      <c r="AB749" s="23"/>
    </row>
    <row r="750">
      <c r="A750" s="4"/>
      <c r="K750" s="4"/>
      <c r="L750" s="4"/>
      <c r="M750" s="4"/>
      <c r="N750" s="4"/>
      <c r="O750" s="29"/>
      <c r="P750" s="4"/>
      <c r="Q750" s="4"/>
      <c r="R750" s="4"/>
      <c r="T750" s="17"/>
      <c r="V750" s="18"/>
      <c r="W750" s="19"/>
      <c r="X750" s="17"/>
      <c r="AB750" s="23"/>
    </row>
    <row r="751">
      <c r="A751" s="4"/>
      <c r="K751" s="4"/>
      <c r="L751" s="4"/>
      <c r="M751" s="4"/>
      <c r="N751" s="4"/>
      <c r="O751" s="29"/>
      <c r="P751" s="4"/>
      <c r="Q751" s="4"/>
      <c r="R751" s="4"/>
      <c r="T751" s="17"/>
      <c r="V751" s="18"/>
      <c r="W751" s="19"/>
      <c r="X751" s="17"/>
      <c r="AB751" s="23"/>
    </row>
    <row r="752">
      <c r="A752" s="4"/>
      <c r="K752" s="4"/>
      <c r="L752" s="4"/>
      <c r="M752" s="4"/>
      <c r="N752" s="4"/>
      <c r="O752" s="29"/>
      <c r="P752" s="4"/>
      <c r="Q752" s="4"/>
      <c r="R752" s="4"/>
      <c r="T752" s="17"/>
      <c r="V752" s="18"/>
      <c r="W752" s="19"/>
      <c r="X752" s="17"/>
      <c r="AB752" s="23"/>
    </row>
    <row r="753">
      <c r="A753" s="4"/>
      <c r="K753" s="4"/>
      <c r="L753" s="4"/>
      <c r="M753" s="4"/>
      <c r="N753" s="4"/>
      <c r="O753" s="29"/>
      <c r="P753" s="4"/>
      <c r="Q753" s="4"/>
      <c r="R753" s="4"/>
      <c r="T753" s="17"/>
      <c r="V753" s="18"/>
      <c r="W753" s="19"/>
      <c r="X753" s="17"/>
      <c r="AB753" s="23"/>
    </row>
    <row r="754">
      <c r="A754" s="4"/>
      <c r="K754" s="4"/>
      <c r="L754" s="4"/>
      <c r="M754" s="4"/>
      <c r="N754" s="4"/>
      <c r="O754" s="29"/>
      <c r="P754" s="4"/>
      <c r="Q754" s="4"/>
      <c r="R754" s="4"/>
      <c r="T754" s="17"/>
      <c r="V754" s="18"/>
      <c r="W754" s="19"/>
      <c r="X754" s="17"/>
      <c r="AB754" s="23"/>
    </row>
    <row r="755">
      <c r="A755" s="4"/>
      <c r="K755" s="4"/>
      <c r="L755" s="4"/>
      <c r="M755" s="4"/>
      <c r="N755" s="4"/>
      <c r="O755" s="29"/>
      <c r="P755" s="4"/>
      <c r="Q755" s="4"/>
      <c r="R755" s="4"/>
      <c r="T755" s="17"/>
      <c r="V755" s="18"/>
      <c r="W755" s="19"/>
      <c r="X755" s="17"/>
      <c r="AB755" s="23"/>
    </row>
    <row r="756">
      <c r="A756" s="4"/>
      <c r="K756" s="4"/>
      <c r="L756" s="4"/>
      <c r="M756" s="4"/>
      <c r="N756" s="4"/>
      <c r="O756" s="29"/>
      <c r="P756" s="4"/>
      <c r="Q756" s="4"/>
      <c r="R756" s="4"/>
      <c r="T756" s="17"/>
      <c r="V756" s="18"/>
      <c r="W756" s="19"/>
      <c r="X756" s="17"/>
      <c r="AB756" s="23"/>
    </row>
    <row r="757">
      <c r="A757" s="4"/>
      <c r="K757" s="4"/>
      <c r="L757" s="4"/>
      <c r="M757" s="4"/>
      <c r="N757" s="4"/>
      <c r="O757" s="29"/>
      <c r="P757" s="4"/>
      <c r="Q757" s="4"/>
      <c r="R757" s="4"/>
      <c r="T757" s="17"/>
      <c r="V757" s="18"/>
      <c r="W757" s="19"/>
      <c r="X757" s="17"/>
      <c r="AB757" s="23"/>
    </row>
    <row r="758">
      <c r="A758" s="4"/>
      <c r="K758" s="4"/>
      <c r="L758" s="4"/>
      <c r="M758" s="4"/>
      <c r="N758" s="4"/>
      <c r="O758" s="29"/>
      <c r="P758" s="4"/>
      <c r="Q758" s="4"/>
      <c r="R758" s="4"/>
      <c r="T758" s="17"/>
      <c r="V758" s="18"/>
      <c r="W758" s="19"/>
      <c r="X758" s="17"/>
      <c r="AB758" s="23"/>
    </row>
    <row r="759">
      <c r="A759" s="4"/>
      <c r="K759" s="4"/>
      <c r="L759" s="4"/>
      <c r="M759" s="4"/>
      <c r="N759" s="4"/>
      <c r="O759" s="29"/>
      <c r="P759" s="4"/>
      <c r="Q759" s="4"/>
      <c r="R759" s="4"/>
      <c r="T759" s="17"/>
      <c r="V759" s="18"/>
      <c r="W759" s="19"/>
      <c r="X759" s="17"/>
      <c r="AB759" s="23"/>
    </row>
    <row r="760">
      <c r="A760" s="4"/>
      <c r="K760" s="4"/>
      <c r="L760" s="4"/>
      <c r="M760" s="4"/>
      <c r="N760" s="4"/>
      <c r="O760" s="29"/>
      <c r="P760" s="4"/>
      <c r="Q760" s="4"/>
      <c r="R760" s="4"/>
      <c r="T760" s="17"/>
      <c r="V760" s="18"/>
      <c r="W760" s="19"/>
      <c r="X760" s="17"/>
      <c r="AB760" s="23"/>
    </row>
    <row r="761">
      <c r="A761" s="4"/>
      <c r="K761" s="4"/>
      <c r="L761" s="4"/>
      <c r="M761" s="4"/>
      <c r="N761" s="4"/>
      <c r="O761" s="29"/>
      <c r="P761" s="4"/>
      <c r="Q761" s="4"/>
      <c r="R761" s="4"/>
      <c r="T761" s="17"/>
      <c r="V761" s="18"/>
      <c r="W761" s="19"/>
      <c r="X761" s="17"/>
      <c r="AB761" s="23"/>
    </row>
    <row r="762">
      <c r="A762" s="4"/>
      <c r="K762" s="4"/>
      <c r="L762" s="4"/>
      <c r="M762" s="4"/>
      <c r="N762" s="4"/>
      <c r="O762" s="29"/>
      <c r="P762" s="4"/>
      <c r="Q762" s="4"/>
      <c r="R762" s="4"/>
      <c r="T762" s="17"/>
      <c r="V762" s="18"/>
      <c r="W762" s="19"/>
      <c r="X762" s="17"/>
      <c r="AB762" s="23"/>
    </row>
    <row r="763">
      <c r="A763" s="4"/>
      <c r="K763" s="4"/>
      <c r="L763" s="4"/>
      <c r="M763" s="4"/>
      <c r="N763" s="4"/>
      <c r="O763" s="29"/>
      <c r="P763" s="4"/>
      <c r="Q763" s="4"/>
      <c r="R763" s="4"/>
      <c r="T763" s="17"/>
      <c r="V763" s="18"/>
      <c r="W763" s="19"/>
      <c r="X763" s="17"/>
      <c r="AB763" s="23"/>
    </row>
    <row r="764">
      <c r="A764" s="4"/>
      <c r="K764" s="4"/>
      <c r="L764" s="4"/>
      <c r="M764" s="4"/>
      <c r="N764" s="4"/>
      <c r="O764" s="29"/>
      <c r="P764" s="4"/>
      <c r="Q764" s="4"/>
      <c r="R764" s="4"/>
      <c r="T764" s="17"/>
      <c r="V764" s="18"/>
      <c r="W764" s="19"/>
      <c r="X764" s="17"/>
      <c r="AB764" s="23"/>
    </row>
    <row r="765">
      <c r="A765" s="4"/>
      <c r="K765" s="4"/>
      <c r="L765" s="4"/>
      <c r="M765" s="4"/>
      <c r="N765" s="4"/>
      <c r="O765" s="29"/>
      <c r="P765" s="4"/>
      <c r="Q765" s="4"/>
      <c r="R765" s="4"/>
      <c r="T765" s="17"/>
      <c r="V765" s="18"/>
      <c r="W765" s="19"/>
      <c r="X765" s="17"/>
      <c r="AB765" s="23"/>
    </row>
    <row r="766">
      <c r="A766" s="4"/>
      <c r="K766" s="4"/>
      <c r="L766" s="4"/>
      <c r="M766" s="4"/>
      <c r="N766" s="4"/>
      <c r="O766" s="29"/>
      <c r="P766" s="4"/>
      <c r="Q766" s="4"/>
      <c r="R766" s="4"/>
      <c r="T766" s="17"/>
      <c r="V766" s="18"/>
      <c r="W766" s="19"/>
      <c r="X766" s="17"/>
      <c r="AB766" s="23"/>
    </row>
    <row r="767">
      <c r="A767" s="4"/>
      <c r="K767" s="4"/>
      <c r="L767" s="4"/>
      <c r="M767" s="4"/>
      <c r="N767" s="4"/>
      <c r="O767" s="29"/>
      <c r="P767" s="4"/>
      <c r="Q767" s="4"/>
      <c r="R767" s="4"/>
      <c r="T767" s="17"/>
      <c r="V767" s="18"/>
      <c r="W767" s="19"/>
      <c r="X767" s="17"/>
      <c r="AB767" s="23"/>
    </row>
    <row r="768">
      <c r="A768" s="4"/>
      <c r="K768" s="4"/>
      <c r="L768" s="4"/>
      <c r="M768" s="4"/>
      <c r="N768" s="4"/>
      <c r="O768" s="29"/>
      <c r="P768" s="4"/>
      <c r="Q768" s="4"/>
      <c r="R768" s="4"/>
      <c r="T768" s="17"/>
      <c r="V768" s="18"/>
      <c r="W768" s="19"/>
      <c r="X768" s="17"/>
      <c r="AB768" s="23"/>
    </row>
    <row r="769">
      <c r="A769" s="4"/>
      <c r="K769" s="4"/>
      <c r="L769" s="4"/>
      <c r="M769" s="4"/>
      <c r="N769" s="4"/>
      <c r="O769" s="29"/>
      <c r="P769" s="4"/>
      <c r="Q769" s="4"/>
      <c r="R769" s="4"/>
      <c r="T769" s="17"/>
      <c r="V769" s="18"/>
      <c r="W769" s="19"/>
      <c r="X769" s="17"/>
      <c r="AB769" s="23"/>
    </row>
    <row r="770">
      <c r="A770" s="4"/>
      <c r="K770" s="4"/>
      <c r="L770" s="4"/>
      <c r="M770" s="4"/>
      <c r="N770" s="4"/>
      <c r="O770" s="29"/>
      <c r="P770" s="4"/>
      <c r="Q770" s="4"/>
      <c r="R770" s="4"/>
      <c r="T770" s="17"/>
      <c r="V770" s="18"/>
      <c r="W770" s="19"/>
      <c r="X770" s="17"/>
      <c r="AB770" s="23"/>
    </row>
    <row r="771">
      <c r="A771" s="4"/>
      <c r="K771" s="4"/>
      <c r="L771" s="4"/>
      <c r="M771" s="4"/>
      <c r="N771" s="4"/>
      <c r="O771" s="29"/>
      <c r="P771" s="4"/>
      <c r="Q771" s="4"/>
      <c r="R771" s="4"/>
      <c r="T771" s="17"/>
      <c r="V771" s="18"/>
      <c r="W771" s="19"/>
      <c r="X771" s="17"/>
      <c r="AB771" s="23"/>
    </row>
    <row r="772">
      <c r="A772" s="4"/>
      <c r="K772" s="4"/>
      <c r="L772" s="4"/>
      <c r="M772" s="4"/>
      <c r="N772" s="4"/>
      <c r="O772" s="29"/>
      <c r="P772" s="4"/>
      <c r="Q772" s="4"/>
      <c r="R772" s="4"/>
      <c r="T772" s="17"/>
      <c r="V772" s="18"/>
      <c r="W772" s="19"/>
      <c r="X772" s="17"/>
      <c r="AB772" s="23"/>
    </row>
    <row r="773">
      <c r="A773" s="4"/>
      <c r="K773" s="4"/>
      <c r="L773" s="4"/>
      <c r="M773" s="4"/>
      <c r="N773" s="4"/>
      <c r="O773" s="29"/>
      <c r="P773" s="4"/>
      <c r="Q773" s="4"/>
      <c r="R773" s="4"/>
      <c r="T773" s="17"/>
      <c r="V773" s="18"/>
      <c r="W773" s="19"/>
      <c r="X773" s="17"/>
      <c r="AB773" s="23"/>
    </row>
    <row r="774">
      <c r="A774" s="4"/>
      <c r="K774" s="4"/>
      <c r="L774" s="4"/>
      <c r="M774" s="4"/>
      <c r="N774" s="4"/>
      <c r="O774" s="29"/>
      <c r="P774" s="4"/>
      <c r="Q774" s="4"/>
      <c r="R774" s="4"/>
      <c r="T774" s="17"/>
      <c r="V774" s="18"/>
      <c r="W774" s="19"/>
      <c r="X774" s="17"/>
      <c r="AB774" s="23"/>
    </row>
    <row r="775">
      <c r="A775" s="4"/>
      <c r="K775" s="4"/>
      <c r="L775" s="4"/>
      <c r="M775" s="4"/>
      <c r="N775" s="4"/>
      <c r="O775" s="29"/>
      <c r="P775" s="4"/>
      <c r="Q775" s="4"/>
      <c r="R775" s="4"/>
      <c r="T775" s="17"/>
      <c r="V775" s="18"/>
      <c r="W775" s="19"/>
      <c r="X775" s="17"/>
      <c r="AB775" s="23"/>
    </row>
    <row r="776">
      <c r="A776" s="4"/>
      <c r="K776" s="4"/>
      <c r="L776" s="4"/>
      <c r="M776" s="4"/>
      <c r="N776" s="4"/>
      <c r="O776" s="29"/>
      <c r="P776" s="4"/>
      <c r="Q776" s="4"/>
      <c r="R776" s="4"/>
      <c r="T776" s="17"/>
      <c r="V776" s="18"/>
      <c r="W776" s="19"/>
      <c r="X776" s="17"/>
      <c r="AB776" s="23"/>
    </row>
    <row r="777">
      <c r="A777" s="4"/>
      <c r="K777" s="4"/>
      <c r="L777" s="4"/>
      <c r="M777" s="4"/>
      <c r="N777" s="4"/>
      <c r="O777" s="29"/>
      <c r="P777" s="4"/>
      <c r="Q777" s="4"/>
      <c r="R777" s="4"/>
      <c r="T777" s="17"/>
      <c r="V777" s="18"/>
      <c r="W777" s="19"/>
      <c r="X777" s="17"/>
      <c r="AB777" s="23"/>
    </row>
    <row r="778">
      <c r="A778" s="4"/>
      <c r="K778" s="4"/>
      <c r="L778" s="4"/>
      <c r="M778" s="4"/>
      <c r="N778" s="4"/>
      <c r="O778" s="29"/>
      <c r="P778" s="4"/>
      <c r="Q778" s="4"/>
      <c r="R778" s="4"/>
      <c r="T778" s="17"/>
      <c r="V778" s="18"/>
      <c r="W778" s="19"/>
      <c r="X778" s="17"/>
      <c r="AB778" s="23"/>
    </row>
    <row r="779">
      <c r="A779" s="4"/>
      <c r="K779" s="4"/>
      <c r="L779" s="4"/>
      <c r="M779" s="4"/>
      <c r="N779" s="4"/>
      <c r="O779" s="29"/>
      <c r="P779" s="4"/>
      <c r="Q779" s="4"/>
      <c r="R779" s="4"/>
      <c r="T779" s="17"/>
      <c r="V779" s="18"/>
      <c r="W779" s="19"/>
      <c r="X779" s="17"/>
      <c r="AB779" s="23"/>
    </row>
    <row r="780">
      <c r="A780" s="4"/>
      <c r="K780" s="4"/>
      <c r="L780" s="4"/>
      <c r="M780" s="4"/>
      <c r="N780" s="4"/>
      <c r="O780" s="29"/>
      <c r="P780" s="4"/>
      <c r="Q780" s="4"/>
      <c r="R780" s="4"/>
      <c r="T780" s="17"/>
      <c r="V780" s="18"/>
      <c r="W780" s="19"/>
      <c r="X780" s="17"/>
      <c r="AB780" s="23"/>
    </row>
    <row r="781">
      <c r="A781" s="4"/>
      <c r="K781" s="4"/>
      <c r="L781" s="4"/>
      <c r="M781" s="4"/>
      <c r="N781" s="4"/>
      <c r="O781" s="29"/>
      <c r="P781" s="4"/>
      <c r="Q781" s="4"/>
      <c r="R781" s="4"/>
      <c r="T781" s="17"/>
      <c r="V781" s="18"/>
      <c r="W781" s="19"/>
      <c r="X781" s="17"/>
      <c r="AB781" s="23"/>
    </row>
    <row r="782">
      <c r="A782" s="4"/>
      <c r="K782" s="4"/>
      <c r="L782" s="4"/>
      <c r="M782" s="4"/>
      <c r="N782" s="4"/>
      <c r="O782" s="29"/>
      <c r="P782" s="4"/>
      <c r="Q782" s="4"/>
      <c r="R782" s="4"/>
      <c r="T782" s="17"/>
      <c r="V782" s="18"/>
      <c r="W782" s="19"/>
      <c r="X782" s="17"/>
      <c r="AB782" s="23"/>
    </row>
    <row r="783">
      <c r="A783" s="4"/>
      <c r="K783" s="4"/>
      <c r="L783" s="4"/>
      <c r="M783" s="4"/>
      <c r="N783" s="4"/>
      <c r="O783" s="29"/>
      <c r="P783" s="4"/>
      <c r="Q783" s="4"/>
      <c r="R783" s="4"/>
      <c r="T783" s="17"/>
      <c r="V783" s="18"/>
      <c r="W783" s="19"/>
      <c r="X783" s="17"/>
      <c r="AB783" s="23"/>
    </row>
    <row r="784">
      <c r="A784" s="4"/>
      <c r="K784" s="4"/>
      <c r="L784" s="4"/>
      <c r="M784" s="4"/>
      <c r="N784" s="4"/>
      <c r="O784" s="29"/>
      <c r="P784" s="4"/>
      <c r="Q784" s="4"/>
      <c r="R784" s="4"/>
      <c r="T784" s="17"/>
      <c r="V784" s="18"/>
      <c r="W784" s="19"/>
      <c r="X784" s="17"/>
      <c r="AB784" s="23"/>
    </row>
    <row r="785">
      <c r="A785" s="4"/>
      <c r="K785" s="4"/>
      <c r="L785" s="4"/>
      <c r="M785" s="4"/>
      <c r="N785" s="4"/>
      <c r="O785" s="29"/>
      <c r="P785" s="4"/>
      <c r="Q785" s="4"/>
      <c r="R785" s="4"/>
      <c r="T785" s="17"/>
      <c r="V785" s="18"/>
      <c r="W785" s="19"/>
      <c r="X785" s="17"/>
      <c r="AB785" s="23"/>
    </row>
    <row r="786">
      <c r="A786" s="4"/>
      <c r="K786" s="4"/>
      <c r="L786" s="4"/>
      <c r="M786" s="4"/>
      <c r="N786" s="4"/>
      <c r="O786" s="29"/>
      <c r="P786" s="4"/>
      <c r="Q786" s="4"/>
      <c r="R786" s="4"/>
      <c r="T786" s="17"/>
      <c r="V786" s="18"/>
      <c r="W786" s="19"/>
      <c r="X786" s="17"/>
      <c r="AB786" s="23"/>
    </row>
    <row r="787">
      <c r="A787" s="4"/>
      <c r="K787" s="4"/>
      <c r="L787" s="4"/>
      <c r="M787" s="4"/>
      <c r="N787" s="4"/>
      <c r="O787" s="29"/>
      <c r="P787" s="4"/>
      <c r="Q787" s="4"/>
      <c r="R787" s="4"/>
      <c r="T787" s="17"/>
      <c r="V787" s="18"/>
      <c r="W787" s="19"/>
      <c r="X787" s="17"/>
      <c r="AB787" s="23"/>
    </row>
    <row r="788">
      <c r="A788" s="4"/>
      <c r="K788" s="4"/>
      <c r="L788" s="4"/>
      <c r="M788" s="4"/>
      <c r="N788" s="4"/>
      <c r="O788" s="29"/>
      <c r="P788" s="4"/>
      <c r="Q788" s="4"/>
      <c r="R788" s="4"/>
      <c r="T788" s="17"/>
      <c r="V788" s="18"/>
      <c r="W788" s="19"/>
      <c r="X788" s="17"/>
      <c r="AB788" s="23"/>
    </row>
    <row r="789">
      <c r="A789" s="4"/>
      <c r="K789" s="4"/>
      <c r="L789" s="4"/>
      <c r="M789" s="4"/>
      <c r="N789" s="4"/>
      <c r="O789" s="29"/>
      <c r="P789" s="4"/>
      <c r="Q789" s="4"/>
      <c r="R789" s="4"/>
      <c r="T789" s="17"/>
      <c r="V789" s="18"/>
      <c r="W789" s="19"/>
      <c r="X789" s="17"/>
      <c r="AB789" s="23"/>
    </row>
    <row r="790">
      <c r="A790" s="4"/>
      <c r="K790" s="4"/>
      <c r="L790" s="4"/>
      <c r="M790" s="4"/>
      <c r="N790" s="4"/>
      <c r="O790" s="29"/>
      <c r="P790" s="4"/>
      <c r="Q790" s="4"/>
      <c r="R790" s="4"/>
      <c r="T790" s="17"/>
      <c r="V790" s="18"/>
      <c r="W790" s="19"/>
      <c r="X790" s="17"/>
      <c r="AB790" s="23"/>
    </row>
    <row r="791">
      <c r="A791" s="4"/>
      <c r="K791" s="4"/>
      <c r="L791" s="4"/>
      <c r="M791" s="4"/>
      <c r="N791" s="4"/>
      <c r="O791" s="29"/>
      <c r="P791" s="4"/>
      <c r="Q791" s="4"/>
      <c r="R791" s="4"/>
      <c r="T791" s="17"/>
      <c r="V791" s="18"/>
      <c r="W791" s="19"/>
      <c r="X791" s="17"/>
      <c r="AB791" s="23"/>
    </row>
    <row r="792">
      <c r="A792" s="4"/>
      <c r="K792" s="4"/>
      <c r="L792" s="4"/>
      <c r="M792" s="4"/>
      <c r="N792" s="4"/>
      <c r="O792" s="29"/>
      <c r="P792" s="4"/>
      <c r="Q792" s="4"/>
      <c r="R792" s="4"/>
      <c r="T792" s="17"/>
      <c r="V792" s="18"/>
      <c r="W792" s="19"/>
      <c r="X792" s="17"/>
      <c r="AB792" s="23"/>
    </row>
    <row r="793">
      <c r="A793" s="4"/>
      <c r="K793" s="4"/>
      <c r="L793" s="4"/>
      <c r="M793" s="4"/>
      <c r="N793" s="4"/>
      <c r="O793" s="29"/>
      <c r="P793" s="4"/>
      <c r="Q793" s="4"/>
      <c r="R793" s="4"/>
      <c r="T793" s="17"/>
      <c r="V793" s="18"/>
      <c r="W793" s="19"/>
      <c r="X793" s="17"/>
      <c r="AB793" s="23"/>
    </row>
    <row r="794">
      <c r="A794" s="4"/>
      <c r="K794" s="4"/>
      <c r="L794" s="4"/>
      <c r="M794" s="4"/>
      <c r="N794" s="4"/>
      <c r="O794" s="29"/>
      <c r="P794" s="4"/>
      <c r="Q794" s="4"/>
      <c r="R794" s="4"/>
      <c r="T794" s="17"/>
      <c r="V794" s="18"/>
      <c r="W794" s="19"/>
      <c r="X794" s="17"/>
      <c r="AB794" s="23"/>
    </row>
    <row r="795">
      <c r="A795" s="4"/>
      <c r="K795" s="4"/>
      <c r="L795" s="4"/>
      <c r="M795" s="4"/>
      <c r="N795" s="4"/>
      <c r="O795" s="29"/>
      <c r="P795" s="4"/>
      <c r="Q795" s="4"/>
      <c r="R795" s="4"/>
      <c r="T795" s="17"/>
      <c r="V795" s="18"/>
      <c r="W795" s="19"/>
      <c r="X795" s="17"/>
      <c r="AB795" s="23"/>
    </row>
    <row r="796">
      <c r="A796" s="4"/>
      <c r="K796" s="4"/>
      <c r="L796" s="4"/>
      <c r="M796" s="4"/>
      <c r="N796" s="4"/>
      <c r="O796" s="29"/>
      <c r="P796" s="4"/>
      <c r="Q796" s="4"/>
      <c r="R796" s="4"/>
      <c r="T796" s="17"/>
      <c r="V796" s="18"/>
      <c r="W796" s="19"/>
      <c r="X796" s="17"/>
      <c r="AB796" s="23"/>
    </row>
    <row r="797">
      <c r="A797" s="4"/>
      <c r="K797" s="4"/>
      <c r="L797" s="4"/>
      <c r="M797" s="4"/>
      <c r="N797" s="4"/>
      <c r="O797" s="29"/>
      <c r="P797" s="4"/>
      <c r="Q797" s="4"/>
      <c r="R797" s="4"/>
      <c r="T797" s="17"/>
      <c r="V797" s="18"/>
      <c r="W797" s="19"/>
      <c r="X797" s="17"/>
      <c r="AB797" s="23"/>
    </row>
    <row r="798">
      <c r="A798" s="4"/>
      <c r="K798" s="4"/>
      <c r="L798" s="4"/>
      <c r="M798" s="4"/>
      <c r="N798" s="4"/>
      <c r="O798" s="29"/>
      <c r="P798" s="4"/>
      <c r="Q798" s="4"/>
      <c r="R798" s="4"/>
      <c r="T798" s="17"/>
      <c r="V798" s="18"/>
      <c r="W798" s="19"/>
      <c r="X798" s="17"/>
      <c r="AB798" s="23"/>
    </row>
    <row r="799">
      <c r="A799" s="4"/>
      <c r="K799" s="4"/>
      <c r="L799" s="4"/>
      <c r="M799" s="4"/>
      <c r="N799" s="4"/>
      <c r="O799" s="29"/>
      <c r="P799" s="4"/>
      <c r="Q799" s="4"/>
      <c r="R799" s="4"/>
      <c r="T799" s="17"/>
      <c r="V799" s="18"/>
      <c r="W799" s="19"/>
      <c r="X799" s="17"/>
      <c r="AB799" s="23"/>
    </row>
    <row r="800">
      <c r="A800" s="4"/>
      <c r="K800" s="4"/>
      <c r="L800" s="4"/>
      <c r="M800" s="4"/>
      <c r="N800" s="4"/>
      <c r="O800" s="29"/>
      <c r="P800" s="4"/>
      <c r="Q800" s="4"/>
      <c r="R800" s="4"/>
      <c r="T800" s="17"/>
      <c r="V800" s="18"/>
      <c r="W800" s="19"/>
      <c r="X800" s="17"/>
      <c r="AB800" s="23"/>
    </row>
    <row r="801">
      <c r="A801" s="4"/>
      <c r="K801" s="4"/>
      <c r="L801" s="4"/>
      <c r="M801" s="4"/>
      <c r="N801" s="4"/>
      <c r="O801" s="29"/>
      <c r="P801" s="4"/>
      <c r="Q801" s="4"/>
      <c r="R801" s="4"/>
      <c r="T801" s="17"/>
      <c r="V801" s="18"/>
      <c r="W801" s="19"/>
      <c r="X801" s="17"/>
      <c r="AB801" s="23"/>
    </row>
    <row r="802">
      <c r="A802" s="4"/>
      <c r="K802" s="4"/>
      <c r="L802" s="4"/>
      <c r="M802" s="4"/>
      <c r="N802" s="4"/>
      <c r="O802" s="29"/>
      <c r="P802" s="4"/>
      <c r="Q802" s="4"/>
      <c r="R802" s="4"/>
      <c r="T802" s="17"/>
      <c r="V802" s="18"/>
      <c r="W802" s="19"/>
      <c r="X802" s="17"/>
      <c r="AB802" s="23"/>
    </row>
    <row r="803">
      <c r="A803" s="4"/>
      <c r="K803" s="4"/>
      <c r="L803" s="4"/>
      <c r="M803" s="4"/>
      <c r="N803" s="4"/>
      <c r="O803" s="29"/>
      <c r="P803" s="4"/>
      <c r="Q803" s="4"/>
      <c r="R803" s="4"/>
      <c r="T803" s="17"/>
      <c r="V803" s="18"/>
      <c r="W803" s="19"/>
      <c r="X803" s="17"/>
      <c r="AB803" s="23"/>
    </row>
    <row r="804">
      <c r="A804" s="4"/>
      <c r="K804" s="4"/>
      <c r="L804" s="4"/>
      <c r="M804" s="4"/>
      <c r="N804" s="4"/>
      <c r="O804" s="29"/>
      <c r="P804" s="4"/>
      <c r="Q804" s="4"/>
      <c r="R804" s="4"/>
      <c r="T804" s="17"/>
      <c r="V804" s="18"/>
      <c r="W804" s="19"/>
      <c r="X804" s="17"/>
      <c r="AB804" s="23"/>
    </row>
    <row r="805">
      <c r="A805" s="4"/>
      <c r="K805" s="4"/>
      <c r="L805" s="4"/>
      <c r="M805" s="4"/>
      <c r="N805" s="4"/>
      <c r="O805" s="29"/>
      <c r="P805" s="4"/>
      <c r="Q805" s="4"/>
      <c r="R805" s="4"/>
      <c r="T805" s="17"/>
      <c r="V805" s="18"/>
      <c r="W805" s="19"/>
      <c r="X805" s="17"/>
      <c r="AB805" s="23"/>
    </row>
    <row r="806">
      <c r="A806" s="4"/>
      <c r="K806" s="4"/>
      <c r="L806" s="4"/>
      <c r="M806" s="4"/>
      <c r="N806" s="4"/>
      <c r="O806" s="29"/>
      <c r="P806" s="4"/>
      <c r="Q806" s="4"/>
      <c r="R806" s="4"/>
      <c r="T806" s="17"/>
      <c r="V806" s="18"/>
      <c r="W806" s="19"/>
      <c r="X806" s="17"/>
      <c r="AB806" s="23"/>
    </row>
    <row r="807">
      <c r="A807" s="4"/>
      <c r="K807" s="4"/>
      <c r="L807" s="4"/>
      <c r="M807" s="4"/>
      <c r="N807" s="4"/>
      <c r="O807" s="29"/>
      <c r="P807" s="4"/>
      <c r="Q807" s="4"/>
      <c r="R807" s="4"/>
      <c r="T807" s="17"/>
      <c r="V807" s="18"/>
      <c r="W807" s="19"/>
      <c r="X807" s="17"/>
      <c r="AB807" s="23"/>
    </row>
    <row r="808">
      <c r="A808" s="4"/>
      <c r="K808" s="4"/>
      <c r="L808" s="4"/>
      <c r="M808" s="4"/>
      <c r="N808" s="4"/>
      <c r="O808" s="29"/>
      <c r="P808" s="4"/>
      <c r="Q808" s="4"/>
      <c r="R808" s="4"/>
      <c r="T808" s="17"/>
      <c r="V808" s="18"/>
      <c r="W808" s="19"/>
      <c r="X808" s="17"/>
      <c r="AB808" s="23"/>
    </row>
    <row r="809">
      <c r="A809" s="4"/>
      <c r="K809" s="4"/>
      <c r="L809" s="4"/>
      <c r="M809" s="4"/>
      <c r="N809" s="4"/>
      <c r="O809" s="29"/>
      <c r="P809" s="4"/>
      <c r="Q809" s="4"/>
      <c r="R809" s="4"/>
      <c r="T809" s="17"/>
      <c r="V809" s="18"/>
      <c r="W809" s="19"/>
      <c r="X809" s="17"/>
      <c r="AB809" s="23"/>
    </row>
    <row r="810">
      <c r="A810" s="4"/>
      <c r="K810" s="4"/>
      <c r="L810" s="4"/>
      <c r="M810" s="4"/>
      <c r="N810" s="4"/>
      <c r="O810" s="29"/>
      <c r="P810" s="4"/>
      <c r="Q810" s="4"/>
      <c r="R810" s="4"/>
      <c r="T810" s="17"/>
      <c r="V810" s="18"/>
      <c r="W810" s="19"/>
      <c r="X810" s="17"/>
      <c r="AB810" s="23"/>
    </row>
    <row r="811">
      <c r="A811" s="4"/>
      <c r="K811" s="4"/>
      <c r="L811" s="4"/>
      <c r="M811" s="4"/>
      <c r="N811" s="4"/>
      <c r="O811" s="29"/>
      <c r="P811" s="4"/>
      <c r="Q811" s="4"/>
      <c r="R811" s="4"/>
      <c r="T811" s="17"/>
      <c r="V811" s="18"/>
      <c r="W811" s="19"/>
      <c r="X811" s="17"/>
      <c r="AB811" s="23"/>
    </row>
    <row r="812">
      <c r="A812" s="4"/>
      <c r="K812" s="4"/>
      <c r="L812" s="4"/>
      <c r="M812" s="4"/>
      <c r="N812" s="4"/>
      <c r="O812" s="29"/>
      <c r="P812" s="4"/>
      <c r="Q812" s="4"/>
      <c r="R812" s="4"/>
      <c r="T812" s="17"/>
      <c r="V812" s="18"/>
      <c r="W812" s="19"/>
      <c r="X812" s="17"/>
      <c r="AB812" s="23"/>
    </row>
    <row r="813">
      <c r="A813" s="4"/>
      <c r="K813" s="4"/>
      <c r="L813" s="4"/>
      <c r="M813" s="4"/>
      <c r="N813" s="4"/>
      <c r="O813" s="29"/>
      <c r="P813" s="4"/>
      <c r="Q813" s="4"/>
      <c r="R813" s="4"/>
      <c r="T813" s="17"/>
      <c r="V813" s="18"/>
      <c r="W813" s="19"/>
      <c r="X813" s="17"/>
      <c r="AB813" s="23"/>
    </row>
    <row r="814">
      <c r="A814" s="4"/>
      <c r="K814" s="4"/>
      <c r="L814" s="4"/>
      <c r="M814" s="4"/>
      <c r="N814" s="4"/>
      <c r="O814" s="29"/>
      <c r="P814" s="4"/>
      <c r="Q814" s="4"/>
      <c r="R814" s="4"/>
      <c r="T814" s="17"/>
      <c r="V814" s="18"/>
      <c r="W814" s="19"/>
      <c r="X814" s="17"/>
      <c r="AB814" s="23"/>
    </row>
    <row r="815">
      <c r="A815" s="4"/>
      <c r="K815" s="4"/>
      <c r="L815" s="4"/>
      <c r="M815" s="4"/>
      <c r="N815" s="4"/>
      <c r="O815" s="29"/>
      <c r="P815" s="4"/>
      <c r="Q815" s="4"/>
      <c r="R815" s="4"/>
      <c r="T815" s="17"/>
      <c r="V815" s="18"/>
      <c r="W815" s="19"/>
      <c r="X815" s="17"/>
      <c r="AB815" s="23"/>
    </row>
    <row r="816">
      <c r="A816" s="4"/>
      <c r="K816" s="4"/>
      <c r="L816" s="4"/>
      <c r="M816" s="4"/>
      <c r="N816" s="4"/>
      <c r="O816" s="29"/>
      <c r="P816" s="4"/>
      <c r="Q816" s="4"/>
      <c r="R816" s="4"/>
      <c r="T816" s="17"/>
      <c r="V816" s="18"/>
      <c r="W816" s="19"/>
      <c r="X816" s="17"/>
      <c r="AB816" s="23"/>
    </row>
    <row r="817">
      <c r="A817" s="4"/>
      <c r="K817" s="4"/>
      <c r="L817" s="4"/>
      <c r="M817" s="4"/>
      <c r="N817" s="4"/>
      <c r="O817" s="29"/>
      <c r="P817" s="4"/>
      <c r="Q817" s="4"/>
      <c r="R817" s="4"/>
      <c r="T817" s="17"/>
      <c r="V817" s="18"/>
      <c r="W817" s="19"/>
      <c r="X817" s="17"/>
      <c r="AB817" s="23"/>
    </row>
    <row r="818">
      <c r="A818" s="4"/>
      <c r="K818" s="4"/>
      <c r="L818" s="4"/>
      <c r="M818" s="4"/>
      <c r="N818" s="4"/>
      <c r="O818" s="29"/>
      <c r="P818" s="4"/>
      <c r="Q818" s="4"/>
      <c r="R818" s="4"/>
      <c r="T818" s="17"/>
      <c r="V818" s="18"/>
      <c r="W818" s="19"/>
      <c r="X818" s="17"/>
      <c r="AB818" s="23"/>
    </row>
    <row r="819">
      <c r="A819" s="4"/>
      <c r="K819" s="4"/>
      <c r="L819" s="4"/>
      <c r="M819" s="4"/>
      <c r="N819" s="4"/>
      <c r="O819" s="29"/>
      <c r="P819" s="4"/>
      <c r="Q819" s="4"/>
      <c r="R819" s="4"/>
      <c r="T819" s="17"/>
      <c r="V819" s="18"/>
      <c r="W819" s="19"/>
      <c r="X819" s="17"/>
      <c r="AB819" s="23"/>
    </row>
    <row r="820">
      <c r="A820" s="4"/>
      <c r="K820" s="4"/>
      <c r="L820" s="4"/>
      <c r="M820" s="4"/>
      <c r="N820" s="4"/>
      <c r="O820" s="29"/>
      <c r="P820" s="4"/>
      <c r="Q820" s="4"/>
      <c r="R820" s="4"/>
      <c r="T820" s="17"/>
      <c r="V820" s="18"/>
      <c r="W820" s="19"/>
      <c r="X820" s="17"/>
      <c r="AB820" s="23"/>
    </row>
    <row r="821">
      <c r="A821" s="4"/>
      <c r="K821" s="4"/>
      <c r="L821" s="4"/>
      <c r="M821" s="4"/>
      <c r="N821" s="4"/>
      <c r="O821" s="29"/>
      <c r="P821" s="4"/>
      <c r="Q821" s="4"/>
      <c r="R821" s="4"/>
      <c r="T821" s="17"/>
      <c r="V821" s="18"/>
      <c r="W821" s="19"/>
      <c r="X821" s="17"/>
      <c r="AB821" s="23"/>
    </row>
    <row r="822">
      <c r="A822" s="4"/>
      <c r="K822" s="4"/>
      <c r="L822" s="4"/>
      <c r="M822" s="4"/>
      <c r="N822" s="4"/>
      <c r="O822" s="29"/>
      <c r="P822" s="4"/>
      <c r="Q822" s="4"/>
      <c r="R822" s="4"/>
      <c r="T822" s="17"/>
      <c r="V822" s="18"/>
      <c r="W822" s="19"/>
      <c r="X822" s="17"/>
      <c r="AB822" s="23"/>
    </row>
    <row r="823">
      <c r="A823" s="4"/>
      <c r="K823" s="4"/>
      <c r="L823" s="4"/>
      <c r="M823" s="4"/>
      <c r="N823" s="4"/>
      <c r="O823" s="29"/>
      <c r="P823" s="4"/>
      <c r="Q823" s="4"/>
      <c r="R823" s="4"/>
      <c r="T823" s="17"/>
      <c r="V823" s="18"/>
      <c r="W823" s="19"/>
      <c r="X823" s="17"/>
      <c r="AB823" s="23"/>
    </row>
    <row r="824">
      <c r="A824" s="4"/>
      <c r="K824" s="4"/>
      <c r="L824" s="4"/>
      <c r="M824" s="4"/>
      <c r="N824" s="4"/>
      <c r="O824" s="29"/>
      <c r="P824" s="4"/>
      <c r="Q824" s="4"/>
      <c r="R824" s="4"/>
      <c r="T824" s="17"/>
      <c r="V824" s="18"/>
      <c r="W824" s="19"/>
      <c r="X824" s="17"/>
      <c r="AB824" s="23"/>
    </row>
    <row r="825">
      <c r="A825" s="4"/>
      <c r="K825" s="4"/>
      <c r="L825" s="4"/>
      <c r="M825" s="4"/>
      <c r="N825" s="4"/>
      <c r="O825" s="29"/>
      <c r="P825" s="4"/>
      <c r="Q825" s="4"/>
      <c r="R825" s="4"/>
      <c r="T825" s="17"/>
      <c r="V825" s="18"/>
      <c r="W825" s="19"/>
      <c r="X825" s="17"/>
      <c r="AB825" s="23"/>
    </row>
    <row r="826">
      <c r="A826" s="4"/>
      <c r="K826" s="4"/>
      <c r="L826" s="4"/>
      <c r="M826" s="4"/>
      <c r="N826" s="4"/>
      <c r="O826" s="29"/>
      <c r="P826" s="4"/>
      <c r="Q826" s="4"/>
      <c r="R826" s="4"/>
      <c r="T826" s="17"/>
      <c r="V826" s="18"/>
      <c r="W826" s="19"/>
      <c r="X826" s="17"/>
      <c r="AB826" s="23"/>
    </row>
    <row r="827">
      <c r="A827" s="4"/>
      <c r="K827" s="4"/>
      <c r="L827" s="4"/>
      <c r="M827" s="4"/>
      <c r="N827" s="4"/>
      <c r="O827" s="29"/>
      <c r="P827" s="4"/>
      <c r="Q827" s="4"/>
      <c r="R827" s="4"/>
      <c r="T827" s="17"/>
      <c r="V827" s="18"/>
      <c r="W827" s="19"/>
      <c r="X827" s="17"/>
      <c r="AB827" s="23"/>
    </row>
    <row r="828">
      <c r="A828" s="4"/>
      <c r="K828" s="4"/>
      <c r="L828" s="4"/>
      <c r="M828" s="4"/>
      <c r="N828" s="4"/>
      <c r="O828" s="29"/>
      <c r="P828" s="4"/>
      <c r="Q828" s="4"/>
      <c r="R828" s="4"/>
      <c r="T828" s="17"/>
      <c r="V828" s="18"/>
      <c r="W828" s="19"/>
      <c r="X828" s="17"/>
      <c r="AB828" s="23"/>
    </row>
    <row r="829">
      <c r="A829" s="4"/>
      <c r="K829" s="4"/>
      <c r="L829" s="4"/>
      <c r="M829" s="4"/>
      <c r="N829" s="4"/>
      <c r="O829" s="29"/>
      <c r="P829" s="4"/>
      <c r="Q829" s="4"/>
      <c r="R829" s="4"/>
      <c r="T829" s="17"/>
      <c r="V829" s="18"/>
      <c r="W829" s="19"/>
      <c r="X829" s="17"/>
      <c r="AB829" s="23"/>
    </row>
    <row r="830">
      <c r="A830" s="4"/>
      <c r="K830" s="4"/>
      <c r="L830" s="4"/>
      <c r="M830" s="4"/>
      <c r="N830" s="4"/>
      <c r="O830" s="29"/>
      <c r="P830" s="4"/>
      <c r="Q830" s="4"/>
      <c r="R830" s="4"/>
      <c r="T830" s="17"/>
      <c r="V830" s="18"/>
      <c r="W830" s="19"/>
      <c r="X830" s="17"/>
      <c r="AB830" s="23"/>
    </row>
    <row r="831">
      <c r="A831" s="4"/>
      <c r="K831" s="4"/>
      <c r="L831" s="4"/>
      <c r="M831" s="4"/>
      <c r="N831" s="4"/>
      <c r="O831" s="29"/>
      <c r="P831" s="4"/>
      <c r="Q831" s="4"/>
      <c r="R831" s="4"/>
      <c r="T831" s="17"/>
      <c r="V831" s="18"/>
      <c r="W831" s="19"/>
      <c r="X831" s="17"/>
      <c r="AB831" s="23"/>
    </row>
    <row r="832">
      <c r="A832" s="4"/>
      <c r="K832" s="4"/>
      <c r="L832" s="4"/>
      <c r="M832" s="4"/>
      <c r="N832" s="4"/>
      <c r="O832" s="29"/>
      <c r="P832" s="4"/>
      <c r="Q832" s="4"/>
      <c r="R832" s="4"/>
      <c r="T832" s="17"/>
      <c r="V832" s="18"/>
      <c r="W832" s="19"/>
      <c r="X832" s="17"/>
      <c r="AB832" s="23"/>
    </row>
    <row r="833">
      <c r="A833" s="4"/>
      <c r="K833" s="4"/>
      <c r="L833" s="4"/>
      <c r="M833" s="4"/>
      <c r="N833" s="4"/>
      <c r="O833" s="29"/>
      <c r="P833" s="4"/>
      <c r="Q833" s="4"/>
      <c r="R833" s="4"/>
      <c r="T833" s="17"/>
      <c r="V833" s="18"/>
      <c r="W833" s="19"/>
      <c r="X833" s="17"/>
      <c r="AB833" s="23"/>
    </row>
    <row r="834">
      <c r="A834" s="4"/>
      <c r="K834" s="4"/>
      <c r="L834" s="4"/>
      <c r="M834" s="4"/>
      <c r="N834" s="4"/>
      <c r="O834" s="29"/>
      <c r="P834" s="4"/>
      <c r="Q834" s="4"/>
      <c r="R834" s="4"/>
      <c r="T834" s="17"/>
      <c r="V834" s="18"/>
      <c r="W834" s="19"/>
      <c r="X834" s="17"/>
      <c r="AB834" s="23"/>
    </row>
    <row r="835">
      <c r="A835" s="4"/>
      <c r="K835" s="4"/>
      <c r="L835" s="4"/>
      <c r="M835" s="4"/>
      <c r="N835" s="4"/>
      <c r="O835" s="29"/>
      <c r="P835" s="4"/>
      <c r="Q835" s="4"/>
      <c r="R835" s="4"/>
      <c r="T835" s="17"/>
      <c r="V835" s="18"/>
      <c r="W835" s="19"/>
      <c r="X835" s="17"/>
      <c r="AB835" s="23"/>
    </row>
    <row r="836">
      <c r="A836" s="4"/>
      <c r="K836" s="4"/>
      <c r="L836" s="4"/>
      <c r="M836" s="4"/>
      <c r="N836" s="4"/>
      <c r="O836" s="29"/>
      <c r="P836" s="4"/>
      <c r="Q836" s="4"/>
      <c r="R836" s="4"/>
      <c r="T836" s="17"/>
      <c r="V836" s="18"/>
      <c r="W836" s="19"/>
      <c r="X836" s="17"/>
      <c r="AB836" s="23"/>
    </row>
    <row r="837">
      <c r="A837" s="4"/>
      <c r="K837" s="4"/>
      <c r="L837" s="4"/>
      <c r="M837" s="4"/>
      <c r="N837" s="4"/>
      <c r="O837" s="29"/>
      <c r="P837" s="4"/>
      <c r="Q837" s="4"/>
      <c r="R837" s="4"/>
      <c r="T837" s="17"/>
      <c r="V837" s="18"/>
      <c r="W837" s="19"/>
      <c r="X837" s="17"/>
      <c r="AB837" s="23"/>
    </row>
    <row r="838">
      <c r="A838" s="4"/>
      <c r="K838" s="4"/>
      <c r="L838" s="4"/>
      <c r="M838" s="4"/>
      <c r="N838" s="4"/>
      <c r="O838" s="29"/>
      <c r="P838" s="4"/>
      <c r="Q838" s="4"/>
      <c r="R838" s="4"/>
      <c r="T838" s="17"/>
      <c r="V838" s="18"/>
      <c r="W838" s="19"/>
      <c r="X838" s="17"/>
      <c r="AB838" s="23"/>
    </row>
    <row r="839">
      <c r="A839" s="4"/>
      <c r="K839" s="4"/>
      <c r="L839" s="4"/>
      <c r="M839" s="4"/>
      <c r="N839" s="4"/>
      <c r="O839" s="29"/>
      <c r="P839" s="4"/>
      <c r="Q839" s="4"/>
      <c r="R839" s="4"/>
      <c r="T839" s="17"/>
      <c r="V839" s="18"/>
      <c r="W839" s="19"/>
      <c r="X839" s="17"/>
      <c r="AB839" s="23"/>
    </row>
    <row r="840">
      <c r="A840" s="4"/>
      <c r="K840" s="4"/>
      <c r="L840" s="4"/>
      <c r="M840" s="4"/>
      <c r="N840" s="4"/>
      <c r="O840" s="29"/>
      <c r="P840" s="4"/>
      <c r="Q840" s="4"/>
      <c r="R840" s="4"/>
      <c r="T840" s="17"/>
      <c r="V840" s="18"/>
      <c r="W840" s="19"/>
      <c r="X840" s="17"/>
      <c r="AB840" s="23"/>
    </row>
    <row r="841">
      <c r="A841" s="4"/>
      <c r="K841" s="4"/>
      <c r="L841" s="4"/>
      <c r="M841" s="4"/>
      <c r="N841" s="4"/>
      <c r="O841" s="29"/>
      <c r="P841" s="4"/>
      <c r="Q841" s="4"/>
      <c r="R841" s="4"/>
      <c r="T841" s="17"/>
      <c r="V841" s="18"/>
      <c r="W841" s="19"/>
      <c r="X841" s="17"/>
      <c r="AB841" s="23"/>
    </row>
    <row r="842">
      <c r="A842" s="4"/>
      <c r="K842" s="4"/>
      <c r="L842" s="4"/>
      <c r="M842" s="4"/>
      <c r="N842" s="4"/>
      <c r="O842" s="29"/>
      <c r="P842" s="4"/>
      <c r="Q842" s="4"/>
      <c r="R842" s="4"/>
      <c r="T842" s="17"/>
      <c r="V842" s="18"/>
      <c r="W842" s="19"/>
      <c r="X842" s="17"/>
      <c r="AB842" s="23"/>
    </row>
    <row r="843">
      <c r="A843" s="4"/>
      <c r="K843" s="4"/>
      <c r="L843" s="4"/>
      <c r="M843" s="4"/>
      <c r="N843" s="4"/>
      <c r="O843" s="29"/>
      <c r="P843" s="4"/>
      <c r="Q843" s="4"/>
      <c r="R843" s="4"/>
      <c r="T843" s="17"/>
      <c r="V843" s="18"/>
      <c r="W843" s="19"/>
      <c r="X843" s="17"/>
      <c r="AB843" s="23"/>
    </row>
    <row r="844">
      <c r="A844" s="4"/>
      <c r="K844" s="4"/>
      <c r="L844" s="4"/>
      <c r="M844" s="4"/>
      <c r="N844" s="4"/>
      <c r="O844" s="29"/>
      <c r="P844" s="4"/>
      <c r="Q844" s="4"/>
      <c r="R844" s="4"/>
      <c r="T844" s="17"/>
      <c r="V844" s="18"/>
      <c r="W844" s="19"/>
      <c r="X844" s="17"/>
      <c r="AB844" s="23"/>
    </row>
    <row r="845">
      <c r="A845" s="4"/>
      <c r="K845" s="4"/>
      <c r="L845" s="4"/>
      <c r="M845" s="4"/>
      <c r="N845" s="4"/>
      <c r="O845" s="29"/>
      <c r="P845" s="4"/>
      <c r="Q845" s="4"/>
      <c r="R845" s="4"/>
      <c r="T845" s="17"/>
      <c r="V845" s="18"/>
      <c r="W845" s="19"/>
      <c r="X845" s="17"/>
      <c r="AB845" s="23"/>
    </row>
    <row r="846">
      <c r="A846" s="4"/>
      <c r="K846" s="4"/>
      <c r="L846" s="4"/>
      <c r="M846" s="4"/>
      <c r="N846" s="4"/>
      <c r="O846" s="29"/>
      <c r="P846" s="4"/>
      <c r="Q846" s="4"/>
      <c r="R846" s="4"/>
      <c r="T846" s="17"/>
      <c r="V846" s="18"/>
      <c r="W846" s="19"/>
      <c r="X846" s="17"/>
      <c r="AB846" s="23"/>
    </row>
    <row r="847">
      <c r="A847" s="4"/>
      <c r="K847" s="4"/>
      <c r="L847" s="4"/>
      <c r="M847" s="4"/>
      <c r="N847" s="4"/>
      <c r="O847" s="29"/>
      <c r="P847" s="4"/>
      <c r="Q847" s="4"/>
      <c r="R847" s="4"/>
      <c r="T847" s="17"/>
      <c r="V847" s="18"/>
      <c r="W847" s="19"/>
      <c r="X847" s="17"/>
      <c r="AB847" s="23"/>
    </row>
    <row r="848">
      <c r="A848" s="4"/>
      <c r="K848" s="4"/>
      <c r="L848" s="4"/>
      <c r="M848" s="4"/>
      <c r="N848" s="4"/>
      <c r="O848" s="29"/>
      <c r="P848" s="4"/>
      <c r="Q848" s="4"/>
      <c r="R848" s="4"/>
      <c r="T848" s="17"/>
      <c r="V848" s="18"/>
      <c r="W848" s="19"/>
      <c r="X848" s="17"/>
      <c r="AB848" s="23"/>
    </row>
    <row r="849">
      <c r="A849" s="4"/>
      <c r="K849" s="4"/>
      <c r="L849" s="4"/>
      <c r="M849" s="4"/>
      <c r="N849" s="4"/>
      <c r="O849" s="29"/>
      <c r="P849" s="4"/>
      <c r="Q849" s="4"/>
      <c r="R849" s="4"/>
      <c r="T849" s="17"/>
      <c r="V849" s="18"/>
      <c r="W849" s="19"/>
      <c r="X849" s="17"/>
      <c r="AB849" s="23"/>
    </row>
    <row r="850">
      <c r="A850" s="4"/>
      <c r="K850" s="4"/>
      <c r="L850" s="4"/>
      <c r="M850" s="4"/>
      <c r="N850" s="4"/>
      <c r="O850" s="29"/>
      <c r="P850" s="4"/>
      <c r="Q850" s="4"/>
      <c r="R850" s="4"/>
      <c r="T850" s="17"/>
      <c r="V850" s="18"/>
      <c r="W850" s="19"/>
      <c r="X850" s="17"/>
      <c r="AB850" s="23"/>
    </row>
    <row r="851">
      <c r="A851" s="4"/>
      <c r="K851" s="4"/>
      <c r="L851" s="4"/>
      <c r="M851" s="4"/>
      <c r="N851" s="4"/>
      <c r="O851" s="29"/>
      <c r="P851" s="4"/>
      <c r="Q851" s="4"/>
      <c r="R851" s="4"/>
      <c r="T851" s="17"/>
      <c r="V851" s="18"/>
      <c r="W851" s="19"/>
      <c r="X851" s="17"/>
      <c r="AB851" s="23"/>
    </row>
    <row r="852">
      <c r="A852" s="4"/>
      <c r="K852" s="4"/>
      <c r="L852" s="4"/>
      <c r="M852" s="4"/>
      <c r="N852" s="4"/>
      <c r="O852" s="29"/>
      <c r="P852" s="4"/>
      <c r="Q852" s="4"/>
      <c r="R852" s="4"/>
      <c r="T852" s="17"/>
      <c r="V852" s="18"/>
      <c r="W852" s="19"/>
      <c r="X852" s="17"/>
      <c r="AB852" s="23"/>
    </row>
    <row r="853">
      <c r="A853" s="4"/>
      <c r="K853" s="4"/>
      <c r="L853" s="4"/>
      <c r="M853" s="4"/>
      <c r="N853" s="4"/>
      <c r="O853" s="29"/>
      <c r="P853" s="4"/>
      <c r="Q853" s="4"/>
      <c r="R853" s="4"/>
      <c r="T853" s="17"/>
      <c r="V853" s="18"/>
      <c r="W853" s="19"/>
      <c r="X853" s="17"/>
      <c r="AB853" s="23"/>
    </row>
    <row r="854">
      <c r="A854" s="4"/>
      <c r="K854" s="4"/>
      <c r="L854" s="4"/>
      <c r="M854" s="4"/>
      <c r="N854" s="4"/>
      <c r="O854" s="29"/>
      <c r="P854" s="4"/>
      <c r="Q854" s="4"/>
      <c r="R854" s="4"/>
      <c r="T854" s="17"/>
      <c r="V854" s="18"/>
      <c r="W854" s="19"/>
      <c r="X854" s="17"/>
      <c r="AB854" s="23"/>
    </row>
    <row r="855">
      <c r="A855" s="4"/>
      <c r="K855" s="4"/>
      <c r="L855" s="4"/>
      <c r="M855" s="4"/>
      <c r="N855" s="4"/>
      <c r="O855" s="29"/>
      <c r="P855" s="4"/>
      <c r="Q855" s="4"/>
      <c r="R855" s="4"/>
      <c r="T855" s="17"/>
      <c r="V855" s="18"/>
      <c r="W855" s="19"/>
      <c r="X855" s="17"/>
      <c r="AB855" s="23"/>
    </row>
    <row r="856">
      <c r="A856" s="4"/>
      <c r="K856" s="4"/>
      <c r="L856" s="4"/>
      <c r="M856" s="4"/>
      <c r="N856" s="4"/>
      <c r="O856" s="29"/>
      <c r="P856" s="4"/>
      <c r="Q856" s="4"/>
      <c r="R856" s="4"/>
      <c r="T856" s="17"/>
      <c r="V856" s="18"/>
      <c r="W856" s="19"/>
      <c r="X856" s="17"/>
      <c r="AB856" s="23"/>
    </row>
    <row r="857">
      <c r="A857" s="4"/>
      <c r="K857" s="4"/>
      <c r="L857" s="4"/>
      <c r="M857" s="4"/>
      <c r="N857" s="4"/>
      <c r="O857" s="29"/>
      <c r="P857" s="4"/>
      <c r="Q857" s="4"/>
      <c r="R857" s="4"/>
      <c r="T857" s="17"/>
      <c r="V857" s="18"/>
      <c r="W857" s="19"/>
      <c r="X857" s="17"/>
      <c r="AB857" s="23"/>
    </row>
    <row r="858">
      <c r="A858" s="4"/>
      <c r="K858" s="4"/>
      <c r="L858" s="4"/>
      <c r="M858" s="4"/>
      <c r="N858" s="4"/>
      <c r="O858" s="29"/>
      <c r="P858" s="4"/>
      <c r="Q858" s="4"/>
      <c r="R858" s="4"/>
      <c r="T858" s="17"/>
      <c r="V858" s="18"/>
      <c r="W858" s="19"/>
      <c r="X858" s="17"/>
      <c r="AB858" s="23"/>
    </row>
    <row r="859">
      <c r="A859" s="4"/>
      <c r="K859" s="4"/>
      <c r="L859" s="4"/>
      <c r="M859" s="4"/>
      <c r="N859" s="4"/>
      <c r="O859" s="29"/>
      <c r="P859" s="4"/>
      <c r="Q859" s="4"/>
      <c r="R859" s="4"/>
      <c r="T859" s="17"/>
      <c r="V859" s="18"/>
      <c r="W859" s="19"/>
      <c r="X859" s="17"/>
      <c r="AB859" s="23"/>
    </row>
    <row r="860">
      <c r="A860" s="4"/>
      <c r="K860" s="4"/>
      <c r="L860" s="4"/>
      <c r="M860" s="4"/>
      <c r="N860" s="4"/>
      <c r="O860" s="29"/>
      <c r="P860" s="4"/>
      <c r="Q860" s="4"/>
      <c r="R860" s="4"/>
      <c r="T860" s="17"/>
      <c r="V860" s="18"/>
      <c r="W860" s="19"/>
      <c r="X860" s="17"/>
      <c r="AB860" s="23"/>
    </row>
    <row r="861">
      <c r="A861" s="4"/>
      <c r="K861" s="4"/>
      <c r="L861" s="4"/>
      <c r="M861" s="4"/>
      <c r="N861" s="4"/>
      <c r="O861" s="29"/>
      <c r="P861" s="4"/>
      <c r="Q861" s="4"/>
      <c r="R861" s="4"/>
      <c r="T861" s="17"/>
      <c r="V861" s="18"/>
      <c r="W861" s="19"/>
      <c r="X861" s="17"/>
      <c r="AB861" s="23"/>
    </row>
    <row r="862">
      <c r="A862" s="4"/>
      <c r="K862" s="4"/>
      <c r="L862" s="4"/>
      <c r="M862" s="4"/>
      <c r="N862" s="4"/>
      <c r="O862" s="29"/>
      <c r="P862" s="4"/>
      <c r="Q862" s="4"/>
      <c r="R862" s="4"/>
      <c r="T862" s="17"/>
      <c r="V862" s="18"/>
      <c r="W862" s="19"/>
      <c r="X862" s="17"/>
      <c r="AB862" s="23"/>
    </row>
    <row r="863">
      <c r="A863" s="4"/>
      <c r="K863" s="4"/>
      <c r="L863" s="4"/>
      <c r="M863" s="4"/>
      <c r="N863" s="4"/>
      <c r="O863" s="29"/>
      <c r="P863" s="4"/>
      <c r="Q863" s="4"/>
      <c r="R863" s="4"/>
      <c r="T863" s="17"/>
      <c r="V863" s="18"/>
      <c r="W863" s="19"/>
      <c r="X863" s="17"/>
      <c r="AB863" s="23"/>
    </row>
    <row r="864">
      <c r="A864" s="4"/>
      <c r="K864" s="4"/>
      <c r="L864" s="4"/>
      <c r="M864" s="4"/>
      <c r="N864" s="4"/>
      <c r="O864" s="29"/>
      <c r="P864" s="4"/>
      <c r="Q864" s="4"/>
      <c r="R864" s="4"/>
      <c r="T864" s="17"/>
      <c r="V864" s="18"/>
      <c r="W864" s="19"/>
      <c r="X864" s="17"/>
      <c r="AB864" s="23"/>
    </row>
    <row r="865">
      <c r="A865" s="4"/>
      <c r="K865" s="4"/>
      <c r="L865" s="4"/>
      <c r="M865" s="4"/>
      <c r="N865" s="4"/>
      <c r="O865" s="29"/>
      <c r="P865" s="4"/>
      <c r="Q865" s="4"/>
      <c r="R865" s="4"/>
      <c r="T865" s="17"/>
      <c r="V865" s="18"/>
      <c r="W865" s="19"/>
      <c r="X865" s="17"/>
      <c r="AB865" s="23"/>
    </row>
    <row r="866">
      <c r="A866" s="4"/>
      <c r="K866" s="4"/>
      <c r="L866" s="4"/>
      <c r="M866" s="4"/>
      <c r="N866" s="4"/>
      <c r="O866" s="29"/>
      <c r="P866" s="4"/>
      <c r="Q866" s="4"/>
      <c r="R866" s="4"/>
      <c r="T866" s="17"/>
      <c r="V866" s="18"/>
      <c r="W866" s="19"/>
      <c r="X866" s="17"/>
      <c r="AB866" s="23"/>
    </row>
    <row r="867">
      <c r="A867" s="4"/>
      <c r="K867" s="4"/>
      <c r="L867" s="4"/>
      <c r="M867" s="4"/>
      <c r="N867" s="4"/>
      <c r="O867" s="29"/>
      <c r="P867" s="4"/>
      <c r="Q867" s="4"/>
      <c r="R867" s="4"/>
      <c r="T867" s="17"/>
      <c r="V867" s="18"/>
      <c r="W867" s="19"/>
      <c r="X867" s="17"/>
      <c r="AB867" s="23"/>
    </row>
    <row r="868">
      <c r="A868" s="4"/>
      <c r="K868" s="4"/>
      <c r="L868" s="4"/>
      <c r="M868" s="4"/>
      <c r="N868" s="4"/>
      <c r="O868" s="29"/>
      <c r="P868" s="4"/>
      <c r="Q868" s="4"/>
      <c r="R868" s="4"/>
      <c r="T868" s="17"/>
      <c r="V868" s="18"/>
      <c r="W868" s="19"/>
      <c r="X868" s="17"/>
      <c r="AB868" s="23"/>
    </row>
    <row r="869">
      <c r="A869" s="4"/>
      <c r="K869" s="4"/>
      <c r="L869" s="4"/>
      <c r="M869" s="4"/>
      <c r="N869" s="4"/>
      <c r="O869" s="29"/>
      <c r="P869" s="4"/>
      <c r="Q869" s="4"/>
      <c r="R869" s="4"/>
      <c r="T869" s="17"/>
      <c r="V869" s="18"/>
      <c r="W869" s="19"/>
      <c r="X869" s="17"/>
      <c r="AB869" s="23"/>
    </row>
    <row r="870">
      <c r="A870" s="4"/>
      <c r="K870" s="4"/>
      <c r="L870" s="4"/>
      <c r="M870" s="4"/>
      <c r="N870" s="4"/>
      <c r="O870" s="29"/>
      <c r="P870" s="4"/>
      <c r="Q870" s="4"/>
      <c r="R870" s="4"/>
      <c r="T870" s="17"/>
      <c r="V870" s="18"/>
      <c r="W870" s="19"/>
      <c r="X870" s="17"/>
      <c r="AB870" s="23"/>
    </row>
    <row r="871">
      <c r="A871" s="4"/>
      <c r="K871" s="4"/>
      <c r="L871" s="4"/>
      <c r="M871" s="4"/>
      <c r="N871" s="4"/>
      <c r="O871" s="29"/>
      <c r="P871" s="4"/>
      <c r="Q871" s="4"/>
      <c r="R871" s="4"/>
      <c r="T871" s="17"/>
      <c r="V871" s="18"/>
      <c r="W871" s="19"/>
      <c r="X871" s="17"/>
      <c r="AB871" s="23"/>
    </row>
    <row r="872">
      <c r="A872" s="4"/>
      <c r="K872" s="4"/>
      <c r="L872" s="4"/>
      <c r="M872" s="4"/>
      <c r="N872" s="4"/>
      <c r="O872" s="29"/>
      <c r="P872" s="4"/>
      <c r="Q872" s="4"/>
      <c r="R872" s="4"/>
      <c r="T872" s="17"/>
      <c r="V872" s="18"/>
      <c r="W872" s="19"/>
      <c r="X872" s="17"/>
      <c r="AB872" s="23"/>
    </row>
    <row r="873">
      <c r="A873" s="4"/>
      <c r="K873" s="4"/>
      <c r="L873" s="4"/>
      <c r="M873" s="4"/>
      <c r="N873" s="4"/>
      <c r="O873" s="29"/>
      <c r="P873" s="4"/>
      <c r="Q873" s="4"/>
      <c r="R873" s="4"/>
      <c r="T873" s="17"/>
      <c r="V873" s="18"/>
      <c r="W873" s="19"/>
      <c r="X873" s="17"/>
      <c r="AB873" s="23"/>
    </row>
    <row r="874">
      <c r="A874" s="4"/>
      <c r="K874" s="4"/>
      <c r="L874" s="4"/>
      <c r="M874" s="4"/>
      <c r="N874" s="4"/>
      <c r="O874" s="29"/>
      <c r="P874" s="4"/>
      <c r="Q874" s="4"/>
      <c r="R874" s="4"/>
      <c r="T874" s="17"/>
      <c r="V874" s="18"/>
      <c r="W874" s="19"/>
      <c r="X874" s="17"/>
      <c r="AB874" s="23"/>
    </row>
    <row r="875">
      <c r="A875" s="4"/>
      <c r="K875" s="4"/>
      <c r="L875" s="4"/>
      <c r="M875" s="4"/>
      <c r="N875" s="4"/>
      <c r="O875" s="29"/>
      <c r="P875" s="4"/>
      <c r="Q875" s="4"/>
      <c r="R875" s="4"/>
      <c r="T875" s="17"/>
      <c r="V875" s="18"/>
      <c r="W875" s="19"/>
      <c r="X875" s="17"/>
      <c r="AB875" s="23"/>
    </row>
    <row r="876">
      <c r="A876" s="4"/>
      <c r="K876" s="4"/>
      <c r="L876" s="4"/>
      <c r="M876" s="4"/>
      <c r="N876" s="4"/>
      <c r="O876" s="29"/>
      <c r="P876" s="4"/>
      <c r="Q876" s="4"/>
      <c r="R876" s="4"/>
      <c r="T876" s="17"/>
      <c r="V876" s="18"/>
      <c r="W876" s="19"/>
      <c r="X876" s="17"/>
      <c r="AB876" s="23"/>
    </row>
    <row r="877">
      <c r="A877" s="4"/>
      <c r="K877" s="4"/>
      <c r="L877" s="4"/>
      <c r="M877" s="4"/>
      <c r="N877" s="4"/>
      <c r="O877" s="29"/>
      <c r="P877" s="4"/>
      <c r="Q877" s="4"/>
      <c r="R877" s="4"/>
      <c r="T877" s="17"/>
      <c r="V877" s="18"/>
      <c r="W877" s="19"/>
      <c r="X877" s="17"/>
      <c r="AB877" s="23"/>
    </row>
    <row r="878">
      <c r="A878" s="4"/>
      <c r="K878" s="4"/>
      <c r="L878" s="4"/>
      <c r="M878" s="4"/>
      <c r="N878" s="4"/>
      <c r="O878" s="29"/>
      <c r="P878" s="4"/>
      <c r="Q878" s="4"/>
      <c r="R878" s="4"/>
      <c r="T878" s="17"/>
      <c r="V878" s="18"/>
      <c r="W878" s="19"/>
      <c r="X878" s="17"/>
      <c r="AB878" s="23"/>
    </row>
    <row r="879">
      <c r="A879" s="4"/>
      <c r="K879" s="4"/>
      <c r="L879" s="4"/>
      <c r="M879" s="4"/>
      <c r="N879" s="4"/>
      <c r="O879" s="29"/>
      <c r="P879" s="4"/>
      <c r="Q879" s="4"/>
      <c r="R879" s="4"/>
      <c r="T879" s="17"/>
      <c r="V879" s="18"/>
      <c r="W879" s="19"/>
      <c r="X879" s="17"/>
      <c r="AB879" s="23"/>
    </row>
    <row r="880">
      <c r="A880" s="4"/>
      <c r="K880" s="4"/>
      <c r="L880" s="4"/>
      <c r="M880" s="4"/>
      <c r="N880" s="4"/>
      <c r="O880" s="29"/>
      <c r="P880" s="4"/>
      <c r="Q880" s="4"/>
      <c r="R880" s="4"/>
      <c r="T880" s="17"/>
      <c r="V880" s="18"/>
      <c r="W880" s="19"/>
      <c r="X880" s="17"/>
      <c r="AB880" s="23"/>
    </row>
    <row r="881">
      <c r="A881" s="4"/>
      <c r="K881" s="4"/>
      <c r="L881" s="4"/>
      <c r="M881" s="4"/>
      <c r="N881" s="4"/>
      <c r="O881" s="29"/>
      <c r="P881" s="4"/>
      <c r="Q881" s="4"/>
      <c r="R881" s="4"/>
      <c r="T881" s="17"/>
      <c r="V881" s="18"/>
      <c r="W881" s="19"/>
      <c r="X881" s="17"/>
      <c r="AB881" s="23"/>
    </row>
    <row r="882">
      <c r="A882" s="4"/>
      <c r="K882" s="4"/>
      <c r="L882" s="4"/>
      <c r="M882" s="4"/>
      <c r="N882" s="4"/>
      <c r="O882" s="29"/>
      <c r="P882" s="4"/>
      <c r="Q882" s="4"/>
      <c r="R882" s="4"/>
      <c r="T882" s="17"/>
      <c r="V882" s="18"/>
      <c r="W882" s="19"/>
      <c r="X882" s="17"/>
      <c r="AB882" s="23"/>
    </row>
    <row r="883">
      <c r="A883" s="4"/>
      <c r="K883" s="4"/>
      <c r="L883" s="4"/>
      <c r="M883" s="4"/>
      <c r="N883" s="4"/>
      <c r="O883" s="29"/>
      <c r="P883" s="4"/>
      <c r="Q883" s="4"/>
      <c r="R883" s="4"/>
      <c r="T883" s="17"/>
      <c r="V883" s="18"/>
      <c r="W883" s="19"/>
      <c r="X883" s="17"/>
      <c r="AB883" s="23"/>
    </row>
    <row r="884">
      <c r="A884" s="4"/>
      <c r="K884" s="4"/>
      <c r="L884" s="4"/>
      <c r="M884" s="4"/>
      <c r="N884" s="4"/>
      <c r="O884" s="29"/>
      <c r="P884" s="4"/>
      <c r="Q884" s="4"/>
      <c r="R884" s="4"/>
      <c r="T884" s="17"/>
      <c r="V884" s="18"/>
      <c r="W884" s="19"/>
      <c r="X884" s="17"/>
      <c r="AB884" s="23"/>
    </row>
    <row r="885">
      <c r="A885" s="4"/>
      <c r="K885" s="4"/>
      <c r="L885" s="4"/>
      <c r="M885" s="4"/>
      <c r="N885" s="4"/>
      <c r="O885" s="29"/>
      <c r="P885" s="4"/>
      <c r="Q885" s="4"/>
      <c r="R885" s="4"/>
      <c r="T885" s="17"/>
      <c r="V885" s="18"/>
      <c r="W885" s="19"/>
      <c r="X885" s="17"/>
      <c r="AB885" s="23"/>
    </row>
    <row r="886">
      <c r="A886" s="4"/>
      <c r="K886" s="4"/>
      <c r="L886" s="4"/>
      <c r="M886" s="4"/>
      <c r="N886" s="4"/>
      <c r="O886" s="29"/>
      <c r="P886" s="4"/>
      <c r="Q886" s="4"/>
      <c r="R886" s="4"/>
      <c r="T886" s="17"/>
      <c r="V886" s="18"/>
      <c r="W886" s="19"/>
      <c r="X886" s="17"/>
      <c r="AB886" s="23"/>
    </row>
    <row r="887">
      <c r="A887" s="4"/>
      <c r="K887" s="4"/>
      <c r="L887" s="4"/>
      <c r="M887" s="4"/>
      <c r="N887" s="4"/>
      <c r="O887" s="29"/>
      <c r="P887" s="4"/>
      <c r="Q887" s="4"/>
      <c r="R887" s="4"/>
      <c r="T887" s="17"/>
      <c r="V887" s="18"/>
      <c r="W887" s="19"/>
      <c r="X887" s="17"/>
      <c r="AB887" s="23"/>
    </row>
    <row r="888">
      <c r="A888" s="4"/>
      <c r="K888" s="4"/>
      <c r="L888" s="4"/>
      <c r="M888" s="4"/>
      <c r="N888" s="4"/>
      <c r="O888" s="29"/>
      <c r="P888" s="4"/>
      <c r="Q888" s="4"/>
      <c r="R888" s="4"/>
      <c r="T888" s="17"/>
      <c r="V888" s="18"/>
      <c r="W888" s="19"/>
      <c r="X888" s="17"/>
      <c r="AB888" s="23"/>
    </row>
    <row r="889">
      <c r="A889" s="4"/>
      <c r="K889" s="4"/>
      <c r="L889" s="4"/>
      <c r="M889" s="4"/>
      <c r="N889" s="4"/>
      <c r="O889" s="29"/>
      <c r="P889" s="4"/>
      <c r="Q889" s="4"/>
      <c r="R889" s="4"/>
      <c r="T889" s="17"/>
      <c r="V889" s="18"/>
      <c r="W889" s="19"/>
      <c r="X889" s="17"/>
      <c r="AB889" s="23"/>
    </row>
    <row r="890">
      <c r="A890" s="4"/>
      <c r="K890" s="4"/>
      <c r="L890" s="4"/>
      <c r="M890" s="4"/>
      <c r="N890" s="4"/>
      <c r="O890" s="29"/>
      <c r="P890" s="4"/>
      <c r="Q890" s="4"/>
      <c r="R890" s="4"/>
      <c r="T890" s="17"/>
      <c r="V890" s="18"/>
      <c r="W890" s="19"/>
      <c r="X890" s="17"/>
      <c r="AB890" s="23"/>
    </row>
    <row r="891">
      <c r="A891" s="4"/>
      <c r="K891" s="4"/>
      <c r="L891" s="4"/>
      <c r="M891" s="4"/>
      <c r="N891" s="4"/>
      <c r="O891" s="29"/>
      <c r="P891" s="4"/>
      <c r="Q891" s="4"/>
      <c r="R891" s="4"/>
      <c r="T891" s="17"/>
      <c r="V891" s="18"/>
      <c r="W891" s="19"/>
      <c r="X891" s="17"/>
      <c r="AB891" s="23"/>
    </row>
    <row r="892">
      <c r="A892" s="4"/>
      <c r="K892" s="4"/>
      <c r="L892" s="4"/>
      <c r="M892" s="4"/>
      <c r="N892" s="4"/>
      <c r="O892" s="29"/>
      <c r="P892" s="4"/>
      <c r="Q892" s="4"/>
      <c r="R892" s="4"/>
      <c r="T892" s="17"/>
      <c r="V892" s="18"/>
      <c r="W892" s="19"/>
      <c r="X892" s="17"/>
      <c r="AB892" s="23"/>
    </row>
    <row r="893">
      <c r="A893" s="4"/>
      <c r="K893" s="4"/>
      <c r="L893" s="4"/>
      <c r="M893" s="4"/>
      <c r="N893" s="4"/>
      <c r="O893" s="29"/>
      <c r="P893" s="4"/>
      <c r="Q893" s="4"/>
      <c r="R893" s="4"/>
      <c r="T893" s="17"/>
      <c r="V893" s="18"/>
      <c r="W893" s="19"/>
      <c r="X893" s="17"/>
      <c r="AB893" s="23"/>
    </row>
    <row r="894">
      <c r="A894" s="4"/>
      <c r="K894" s="4"/>
      <c r="L894" s="4"/>
      <c r="M894" s="4"/>
      <c r="N894" s="4"/>
      <c r="O894" s="29"/>
      <c r="P894" s="4"/>
      <c r="Q894" s="4"/>
      <c r="R894" s="4"/>
      <c r="T894" s="17"/>
      <c r="V894" s="18"/>
      <c r="W894" s="19"/>
      <c r="X894" s="17"/>
      <c r="AB894" s="23"/>
    </row>
    <row r="895">
      <c r="A895" s="4"/>
      <c r="K895" s="4"/>
      <c r="L895" s="4"/>
      <c r="M895" s="4"/>
      <c r="N895" s="4"/>
      <c r="O895" s="29"/>
      <c r="P895" s="4"/>
      <c r="Q895" s="4"/>
      <c r="R895" s="4"/>
      <c r="T895" s="17"/>
      <c r="V895" s="18"/>
      <c r="W895" s="19"/>
      <c r="X895" s="17"/>
      <c r="AB895" s="23"/>
    </row>
    <row r="896">
      <c r="A896" s="4"/>
      <c r="K896" s="4"/>
      <c r="L896" s="4"/>
      <c r="M896" s="4"/>
      <c r="N896" s="4"/>
      <c r="O896" s="29"/>
      <c r="P896" s="4"/>
      <c r="Q896" s="4"/>
      <c r="R896" s="4"/>
      <c r="T896" s="17"/>
      <c r="V896" s="18"/>
      <c r="W896" s="19"/>
      <c r="X896" s="17"/>
      <c r="AB896" s="23"/>
    </row>
    <row r="897">
      <c r="A897" s="4"/>
      <c r="K897" s="4"/>
      <c r="L897" s="4"/>
      <c r="M897" s="4"/>
      <c r="N897" s="4"/>
      <c r="O897" s="29"/>
      <c r="P897" s="4"/>
      <c r="Q897" s="4"/>
      <c r="R897" s="4"/>
      <c r="T897" s="17"/>
      <c r="V897" s="18"/>
      <c r="W897" s="19"/>
      <c r="X897" s="17"/>
      <c r="AB897" s="23"/>
    </row>
    <row r="898">
      <c r="A898" s="4"/>
      <c r="K898" s="4"/>
      <c r="L898" s="4"/>
      <c r="M898" s="4"/>
      <c r="N898" s="4"/>
      <c r="O898" s="29"/>
      <c r="P898" s="4"/>
      <c r="Q898" s="4"/>
      <c r="R898" s="4"/>
      <c r="T898" s="17"/>
      <c r="V898" s="18"/>
      <c r="W898" s="19"/>
      <c r="X898" s="17"/>
      <c r="AB898" s="23"/>
    </row>
    <row r="899">
      <c r="A899" s="4"/>
      <c r="K899" s="4"/>
      <c r="L899" s="4"/>
      <c r="M899" s="4"/>
      <c r="N899" s="4"/>
      <c r="O899" s="29"/>
      <c r="P899" s="4"/>
      <c r="Q899" s="4"/>
      <c r="R899" s="4"/>
      <c r="T899" s="17"/>
      <c r="V899" s="18"/>
      <c r="W899" s="19"/>
      <c r="X899" s="17"/>
      <c r="AB899" s="23"/>
    </row>
    <row r="900">
      <c r="A900" s="4"/>
      <c r="K900" s="4"/>
      <c r="L900" s="4"/>
      <c r="M900" s="4"/>
      <c r="N900" s="4"/>
      <c r="O900" s="29"/>
      <c r="P900" s="4"/>
      <c r="Q900" s="4"/>
      <c r="R900" s="4"/>
      <c r="T900" s="17"/>
      <c r="V900" s="18"/>
      <c r="W900" s="19"/>
      <c r="X900" s="17"/>
      <c r="AB900" s="23"/>
    </row>
    <row r="901">
      <c r="A901" s="4"/>
      <c r="K901" s="4"/>
      <c r="L901" s="4"/>
      <c r="M901" s="4"/>
      <c r="N901" s="4"/>
      <c r="O901" s="29"/>
      <c r="P901" s="4"/>
      <c r="Q901" s="4"/>
      <c r="R901" s="4"/>
      <c r="T901" s="17"/>
      <c r="V901" s="18"/>
      <c r="W901" s="19"/>
      <c r="X901" s="17"/>
      <c r="AB901" s="23"/>
    </row>
    <row r="902">
      <c r="A902" s="4"/>
      <c r="K902" s="4"/>
      <c r="L902" s="4"/>
      <c r="M902" s="4"/>
      <c r="N902" s="4"/>
      <c r="O902" s="29"/>
      <c r="P902" s="4"/>
      <c r="Q902" s="4"/>
      <c r="R902" s="4"/>
      <c r="T902" s="17"/>
      <c r="V902" s="18"/>
      <c r="W902" s="19"/>
      <c r="X902" s="17"/>
      <c r="AB902" s="23"/>
    </row>
    <row r="903">
      <c r="A903" s="4"/>
      <c r="K903" s="4"/>
      <c r="L903" s="4"/>
      <c r="M903" s="4"/>
      <c r="N903" s="4"/>
      <c r="O903" s="29"/>
      <c r="P903" s="4"/>
      <c r="Q903" s="4"/>
      <c r="R903" s="4"/>
      <c r="T903" s="17"/>
      <c r="V903" s="18"/>
      <c r="W903" s="19"/>
      <c r="X903" s="17"/>
      <c r="AB903" s="23"/>
    </row>
    <row r="904">
      <c r="A904" s="4"/>
      <c r="K904" s="4"/>
      <c r="L904" s="4"/>
      <c r="M904" s="4"/>
      <c r="N904" s="4"/>
      <c r="O904" s="29"/>
      <c r="P904" s="4"/>
      <c r="Q904" s="4"/>
      <c r="R904" s="4"/>
      <c r="T904" s="17"/>
      <c r="V904" s="18"/>
      <c r="W904" s="19"/>
      <c r="X904" s="17"/>
      <c r="AB904" s="23"/>
    </row>
    <row r="905">
      <c r="A905" s="4"/>
      <c r="K905" s="4"/>
      <c r="L905" s="4"/>
      <c r="M905" s="4"/>
      <c r="N905" s="4"/>
      <c r="O905" s="29"/>
      <c r="P905" s="4"/>
      <c r="Q905" s="4"/>
      <c r="R905" s="4"/>
      <c r="T905" s="17"/>
      <c r="V905" s="18"/>
      <c r="W905" s="19"/>
      <c r="X905" s="17"/>
      <c r="AB905" s="23"/>
    </row>
    <row r="906">
      <c r="A906" s="4"/>
      <c r="K906" s="4"/>
      <c r="L906" s="4"/>
      <c r="M906" s="4"/>
      <c r="N906" s="4"/>
      <c r="O906" s="29"/>
      <c r="P906" s="4"/>
      <c r="Q906" s="4"/>
      <c r="R906" s="4"/>
      <c r="T906" s="17"/>
      <c r="V906" s="18"/>
      <c r="W906" s="19"/>
      <c r="X906" s="17"/>
      <c r="AB906" s="23"/>
    </row>
    <row r="907">
      <c r="A907" s="4"/>
      <c r="K907" s="4"/>
      <c r="L907" s="4"/>
      <c r="M907" s="4"/>
      <c r="N907" s="4"/>
      <c r="O907" s="29"/>
      <c r="P907" s="4"/>
      <c r="Q907" s="4"/>
      <c r="R907" s="4"/>
      <c r="T907" s="17"/>
      <c r="V907" s="18"/>
      <c r="W907" s="19"/>
      <c r="X907" s="17"/>
      <c r="AB907" s="23"/>
    </row>
    <row r="908">
      <c r="A908" s="4"/>
      <c r="K908" s="4"/>
      <c r="L908" s="4"/>
      <c r="M908" s="4"/>
      <c r="N908" s="4"/>
      <c r="O908" s="29"/>
      <c r="P908" s="4"/>
      <c r="Q908" s="4"/>
      <c r="R908" s="4"/>
      <c r="T908" s="17"/>
      <c r="V908" s="18"/>
      <c r="W908" s="19"/>
      <c r="X908" s="17"/>
      <c r="AB908" s="23"/>
    </row>
    <row r="909">
      <c r="A909" s="4"/>
      <c r="K909" s="4"/>
      <c r="L909" s="4"/>
      <c r="M909" s="4"/>
      <c r="N909" s="4"/>
      <c r="O909" s="29"/>
      <c r="P909" s="4"/>
      <c r="Q909" s="4"/>
      <c r="R909" s="4"/>
      <c r="T909" s="17"/>
      <c r="V909" s="18"/>
      <c r="W909" s="19"/>
      <c r="X909" s="17"/>
      <c r="AB909" s="23"/>
    </row>
    <row r="910">
      <c r="A910" s="4"/>
      <c r="K910" s="4"/>
      <c r="L910" s="4"/>
      <c r="M910" s="4"/>
      <c r="N910" s="4"/>
      <c r="O910" s="29"/>
      <c r="P910" s="4"/>
      <c r="Q910" s="4"/>
      <c r="R910" s="4"/>
      <c r="T910" s="17"/>
      <c r="V910" s="18"/>
      <c r="W910" s="19"/>
      <c r="X910" s="17"/>
      <c r="AB910" s="23"/>
    </row>
    <row r="911">
      <c r="A911" s="4"/>
      <c r="K911" s="4"/>
      <c r="L911" s="4"/>
      <c r="M911" s="4"/>
      <c r="N911" s="4"/>
      <c r="O911" s="29"/>
      <c r="P911" s="4"/>
      <c r="Q911" s="4"/>
      <c r="R911" s="4"/>
      <c r="T911" s="17"/>
      <c r="V911" s="18"/>
      <c r="W911" s="19"/>
      <c r="X911" s="17"/>
      <c r="AB911" s="23"/>
    </row>
    <row r="912">
      <c r="A912" s="4"/>
      <c r="K912" s="4"/>
      <c r="L912" s="4"/>
      <c r="M912" s="4"/>
      <c r="N912" s="4"/>
      <c r="O912" s="29"/>
      <c r="P912" s="4"/>
      <c r="Q912" s="4"/>
      <c r="R912" s="4"/>
      <c r="T912" s="17"/>
      <c r="V912" s="18"/>
      <c r="W912" s="19"/>
      <c r="X912" s="17"/>
      <c r="AB912" s="23"/>
    </row>
    <row r="913">
      <c r="A913" s="4"/>
      <c r="K913" s="4"/>
      <c r="L913" s="4"/>
      <c r="M913" s="4"/>
      <c r="N913" s="4"/>
      <c r="O913" s="29"/>
      <c r="P913" s="4"/>
      <c r="Q913" s="4"/>
      <c r="R913" s="4"/>
      <c r="T913" s="17"/>
      <c r="V913" s="18"/>
      <c r="W913" s="19"/>
      <c r="X913" s="17"/>
      <c r="AB913" s="23"/>
    </row>
    <row r="914">
      <c r="A914" s="4"/>
      <c r="K914" s="4"/>
      <c r="L914" s="4"/>
      <c r="M914" s="4"/>
      <c r="N914" s="4"/>
      <c r="O914" s="29"/>
      <c r="P914" s="4"/>
      <c r="Q914" s="4"/>
      <c r="R914" s="4"/>
      <c r="T914" s="17"/>
      <c r="V914" s="18"/>
      <c r="W914" s="19"/>
      <c r="X914" s="17"/>
      <c r="AB914" s="23"/>
    </row>
    <row r="915">
      <c r="A915" s="4"/>
      <c r="K915" s="4"/>
      <c r="L915" s="4"/>
      <c r="M915" s="4"/>
      <c r="N915" s="4"/>
      <c r="O915" s="29"/>
      <c r="P915" s="4"/>
      <c r="Q915" s="4"/>
      <c r="R915" s="4"/>
      <c r="T915" s="17"/>
      <c r="V915" s="18"/>
      <c r="W915" s="19"/>
      <c r="X915" s="17"/>
      <c r="AB915" s="23"/>
    </row>
    <row r="916">
      <c r="A916" s="4"/>
      <c r="K916" s="4"/>
      <c r="L916" s="4"/>
      <c r="M916" s="4"/>
      <c r="N916" s="4"/>
      <c r="O916" s="29"/>
      <c r="P916" s="4"/>
      <c r="Q916" s="4"/>
      <c r="R916" s="4"/>
      <c r="T916" s="17"/>
      <c r="V916" s="18"/>
      <c r="W916" s="19"/>
      <c r="X916" s="17"/>
      <c r="AB916" s="23"/>
    </row>
    <row r="917">
      <c r="A917" s="4"/>
      <c r="K917" s="4"/>
      <c r="L917" s="4"/>
      <c r="M917" s="4"/>
      <c r="N917" s="4"/>
      <c r="O917" s="29"/>
      <c r="P917" s="4"/>
      <c r="Q917" s="4"/>
      <c r="R917" s="4"/>
      <c r="T917" s="17"/>
      <c r="V917" s="18"/>
      <c r="W917" s="19"/>
      <c r="X917" s="17"/>
      <c r="AB917" s="23"/>
    </row>
    <row r="918">
      <c r="A918" s="4"/>
      <c r="K918" s="4"/>
      <c r="L918" s="4"/>
      <c r="M918" s="4"/>
      <c r="N918" s="4"/>
      <c r="O918" s="29"/>
      <c r="P918" s="4"/>
      <c r="Q918" s="4"/>
      <c r="R918" s="4"/>
      <c r="T918" s="17"/>
      <c r="V918" s="18"/>
      <c r="W918" s="19"/>
      <c r="X918" s="17"/>
      <c r="AB918" s="23"/>
    </row>
    <row r="919">
      <c r="A919" s="4"/>
      <c r="K919" s="4"/>
      <c r="L919" s="4"/>
      <c r="M919" s="4"/>
      <c r="N919" s="4"/>
      <c r="O919" s="29"/>
      <c r="P919" s="4"/>
      <c r="Q919" s="4"/>
      <c r="R919" s="4"/>
      <c r="T919" s="17"/>
      <c r="V919" s="18"/>
      <c r="W919" s="19"/>
      <c r="X919" s="17"/>
      <c r="AB919" s="23"/>
    </row>
    <row r="920">
      <c r="A920" s="4"/>
      <c r="K920" s="4"/>
      <c r="L920" s="4"/>
      <c r="M920" s="4"/>
      <c r="N920" s="4"/>
      <c r="O920" s="29"/>
      <c r="P920" s="4"/>
      <c r="Q920" s="4"/>
      <c r="R920" s="4"/>
      <c r="T920" s="17"/>
      <c r="V920" s="18"/>
      <c r="W920" s="19"/>
      <c r="X920" s="17"/>
      <c r="AB920" s="23"/>
    </row>
    <row r="921">
      <c r="A921" s="4"/>
      <c r="K921" s="4"/>
      <c r="L921" s="4"/>
      <c r="M921" s="4"/>
      <c r="N921" s="4"/>
      <c r="O921" s="29"/>
      <c r="P921" s="4"/>
      <c r="Q921" s="4"/>
      <c r="R921" s="4"/>
      <c r="T921" s="17"/>
      <c r="V921" s="18"/>
      <c r="W921" s="19"/>
      <c r="X921" s="17"/>
      <c r="AB921" s="23"/>
    </row>
    <row r="922">
      <c r="A922" s="4"/>
      <c r="K922" s="4"/>
      <c r="L922" s="4"/>
      <c r="M922" s="4"/>
      <c r="N922" s="4"/>
      <c r="O922" s="29"/>
      <c r="P922" s="4"/>
      <c r="Q922" s="4"/>
      <c r="R922" s="4"/>
      <c r="T922" s="17"/>
      <c r="V922" s="18"/>
      <c r="W922" s="19"/>
      <c r="X922" s="17"/>
      <c r="AB922" s="23"/>
    </row>
    <row r="923">
      <c r="A923" s="4"/>
      <c r="K923" s="4"/>
      <c r="L923" s="4"/>
      <c r="M923" s="4"/>
      <c r="N923" s="4"/>
      <c r="O923" s="29"/>
      <c r="P923" s="4"/>
      <c r="Q923" s="4"/>
      <c r="R923" s="4"/>
      <c r="T923" s="17"/>
      <c r="V923" s="18"/>
      <c r="W923" s="19"/>
      <c r="X923" s="17"/>
      <c r="AB923" s="23"/>
    </row>
    <row r="924">
      <c r="A924" s="4"/>
      <c r="K924" s="4"/>
      <c r="L924" s="4"/>
      <c r="M924" s="4"/>
      <c r="N924" s="4"/>
      <c r="O924" s="29"/>
      <c r="P924" s="4"/>
      <c r="Q924" s="4"/>
      <c r="R924" s="4"/>
      <c r="T924" s="17"/>
      <c r="V924" s="18"/>
      <c r="W924" s="19"/>
      <c r="X924" s="17"/>
      <c r="AB924" s="23"/>
    </row>
    <row r="925">
      <c r="A925" s="4"/>
      <c r="K925" s="4"/>
      <c r="L925" s="4"/>
      <c r="M925" s="4"/>
      <c r="N925" s="4"/>
      <c r="O925" s="29"/>
      <c r="P925" s="4"/>
      <c r="Q925" s="4"/>
      <c r="R925" s="4"/>
      <c r="T925" s="17"/>
      <c r="V925" s="18"/>
      <c r="W925" s="19"/>
      <c r="X925" s="17"/>
      <c r="AB925" s="23"/>
    </row>
    <row r="926">
      <c r="A926" s="4"/>
      <c r="K926" s="4"/>
      <c r="L926" s="4"/>
      <c r="M926" s="4"/>
      <c r="N926" s="4"/>
      <c r="O926" s="29"/>
      <c r="P926" s="4"/>
      <c r="Q926" s="4"/>
      <c r="R926" s="4"/>
      <c r="T926" s="17"/>
      <c r="V926" s="18"/>
      <c r="W926" s="19"/>
      <c r="X926" s="17"/>
      <c r="AB926" s="23"/>
    </row>
    <row r="927">
      <c r="A927" s="4"/>
      <c r="K927" s="4"/>
      <c r="L927" s="4"/>
      <c r="M927" s="4"/>
      <c r="N927" s="4"/>
      <c r="O927" s="29"/>
      <c r="P927" s="4"/>
      <c r="Q927" s="4"/>
      <c r="R927" s="4"/>
      <c r="T927" s="17"/>
      <c r="V927" s="18"/>
      <c r="W927" s="19"/>
      <c r="X927" s="17"/>
      <c r="AB927" s="23"/>
    </row>
    <row r="928">
      <c r="A928" s="4"/>
      <c r="K928" s="4"/>
      <c r="L928" s="4"/>
      <c r="M928" s="4"/>
      <c r="N928" s="4"/>
      <c r="O928" s="29"/>
      <c r="P928" s="4"/>
      <c r="Q928" s="4"/>
      <c r="R928" s="4"/>
      <c r="T928" s="17"/>
      <c r="V928" s="18"/>
      <c r="W928" s="19"/>
      <c r="X928" s="17"/>
      <c r="AB928" s="23"/>
    </row>
    <row r="929">
      <c r="A929" s="4"/>
      <c r="K929" s="4"/>
      <c r="L929" s="4"/>
      <c r="M929" s="4"/>
      <c r="N929" s="4"/>
      <c r="O929" s="29"/>
      <c r="P929" s="4"/>
      <c r="Q929" s="4"/>
      <c r="R929" s="4"/>
      <c r="T929" s="17"/>
      <c r="V929" s="18"/>
      <c r="W929" s="19"/>
      <c r="X929" s="17"/>
      <c r="AB929" s="23"/>
    </row>
    <row r="930">
      <c r="A930" s="4"/>
      <c r="K930" s="4"/>
      <c r="L930" s="4"/>
      <c r="M930" s="4"/>
      <c r="N930" s="4"/>
      <c r="O930" s="29"/>
      <c r="P930" s="4"/>
      <c r="Q930" s="4"/>
      <c r="R930" s="4"/>
      <c r="T930" s="17"/>
      <c r="V930" s="18"/>
      <c r="W930" s="19"/>
      <c r="X930" s="17"/>
      <c r="AB930" s="23"/>
    </row>
    <row r="931">
      <c r="A931" s="4"/>
      <c r="K931" s="4"/>
      <c r="L931" s="4"/>
      <c r="M931" s="4"/>
      <c r="N931" s="4"/>
      <c r="O931" s="29"/>
      <c r="P931" s="4"/>
      <c r="Q931" s="4"/>
      <c r="R931" s="4"/>
      <c r="T931" s="17"/>
      <c r="V931" s="18"/>
      <c r="W931" s="19"/>
      <c r="X931" s="17"/>
      <c r="AB931" s="23"/>
    </row>
    <row r="932">
      <c r="A932" s="4"/>
      <c r="K932" s="4"/>
      <c r="L932" s="4"/>
      <c r="M932" s="4"/>
      <c r="N932" s="4"/>
      <c r="O932" s="29"/>
      <c r="P932" s="4"/>
      <c r="Q932" s="4"/>
      <c r="R932" s="4"/>
      <c r="T932" s="17"/>
      <c r="V932" s="18"/>
      <c r="W932" s="19"/>
      <c r="X932" s="17"/>
      <c r="AB932" s="23"/>
    </row>
    <row r="933">
      <c r="A933" s="4"/>
      <c r="K933" s="4"/>
      <c r="L933" s="4"/>
      <c r="M933" s="4"/>
      <c r="N933" s="4"/>
      <c r="O933" s="29"/>
      <c r="P933" s="4"/>
      <c r="Q933" s="4"/>
      <c r="R933" s="4"/>
      <c r="T933" s="17"/>
      <c r="V933" s="18"/>
      <c r="W933" s="19"/>
      <c r="X933" s="17"/>
      <c r="AB933" s="23"/>
    </row>
    <row r="934">
      <c r="A934" s="4"/>
      <c r="K934" s="4"/>
      <c r="L934" s="4"/>
      <c r="M934" s="4"/>
      <c r="N934" s="4"/>
      <c r="O934" s="29"/>
      <c r="P934" s="4"/>
      <c r="Q934" s="4"/>
      <c r="R934" s="4"/>
      <c r="T934" s="17"/>
      <c r="V934" s="18"/>
      <c r="W934" s="19"/>
      <c r="X934" s="17"/>
      <c r="AB934" s="23"/>
    </row>
    <row r="935">
      <c r="A935" s="4"/>
      <c r="K935" s="4"/>
      <c r="L935" s="4"/>
      <c r="M935" s="4"/>
      <c r="N935" s="4"/>
      <c r="O935" s="29"/>
      <c r="P935" s="4"/>
      <c r="Q935" s="4"/>
      <c r="R935" s="4"/>
      <c r="T935" s="17"/>
      <c r="V935" s="18"/>
      <c r="W935" s="19"/>
      <c r="X935" s="17"/>
      <c r="AB935" s="23"/>
    </row>
    <row r="936">
      <c r="A936" s="4"/>
      <c r="K936" s="4"/>
      <c r="L936" s="4"/>
      <c r="M936" s="4"/>
      <c r="N936" s="4"/>
      <c r="O936" s="29"/>
      <c r="P936" s="4"/>
      <c r="Q936" s="4"/>
      <c r="R936" s="4"/>
      <c r="T936" s="17"/>
      <c r="V936" s="18"/>
      <c r="W936" s="19"/>
      <c r="X936" s="17"/>
      <c r="AB936" s="23"/>
    </row>
    <row r="937">
      <c r="A937" s="4"/>
      <c r="K937" s="4"/>
      <c r="L937" s="4"/>
      <c r="M937" s="4"/>
      <c r="N937" s="4"/>
      <c r="O937" s="29"/>
      <c r="P937" s="4"/>
      <c r="Q937" s="4"/>
      <c r="R937" s="4"/>
      <c r="T937" s="17"/>
      <c r="V937" s="18"/>
      <c r="W937" s="19"/>
      <c r="X937" s="17"/>
      <c r="AB937" s="23"/>
    </row>
    <row r="938">
      <c r="A938" s="4"/>
      <c r="K938" s="4"/>
      <c r="L938" s="4"/>
      <c r="M938" s="4"/>
      <c r="N938" s="4"/>
      <c r="O938" s="29"/>
      <c r="P938" s="4"/>
      <c r="Q938" s="4"/>
      <c r="R938" s="4"/>
      <c r="T938" s="17"/>
      <c r="V938" s="18"/>
      <c r="W938" s="19"/>
      <c r="X938" s="17"/>
      <c r="AB938" s="23"/>
    </row>
    <row r="939">
      <c r="A939" s="4"/>
      <c r="K939" s="4"/>
      <c r="L939" s="4"/>
      <c r="M939" s="4"/>
      <c r="N939" s="4"/>
      <c r="O939" s="29"/>
      <c r="P939" s="4"/>
      <c r="Q939" s="4"/>
      <c r="R939" s="4"/>
      <c r="T939" s="17"/>
      <c r="V939" s="18"/>
      <c r="W939" s="19"/>
      <c r="X939" s="17"/>
      <c r="AB939" s="23"/>
    </row>
    <row r="940">
      <c r="A940" s="4"/>
      <c r="K940" s="4"/>
      <c r="L940" s="4"/>
      <c r="M940" s="4"/>
      <c r="N940" s="4"/>
      <c r="O940" s="29"/>
      <c r="P940" s="4"/>
      <c r="Q940" s="4"/>
      <c r="R940" s="4"/>
      <c r="T940" s="17"/>
      <c r="V940" s="18"/>
      <c r="W940" s="19"/>
      <c r="X940" s="17"/>
      <c r="AB940" s="23"/>
    </row>
    <row r="941">
      <c r="A941" s="4"/>
      <c r="K941" s="4"/>
      <c r="L941" s="4"/>
      <c r="M941" s="4"/>
      <c r="N941" s="4"/>
      <c r="O941" s="29"/>
      <c r="P941" s="4"/>
      <c r="Q941" s="4"/>
      <c r="R941" s="4"/>
      <c r="T941" s="17"/>
      <c r="V941" s="18"/>
      <c r="W941" s="19"/>
      <c r="X941" s="17"/>
      <c r="AB941" s="23"/>
    </row>
    <row r="942">
      <c r="A942" s="4"/>
      <c r="K942" s="4"/>
      <c r="L942" s="4"/>
      <c r="M942" s="4"/>
      <c r="N942" s="4"/>
      <c r="O942" s="29"/>
      <c r="P942" s="4"/>
      <c r="Q942" s="4"/>
      <c r="R942" s="4"/>
      <c r="T942" s="17"/>
      <c r="V942" s="18"/>
      <c r="W942" s="19"/>
      <c r="X942" s="17"/>
      <c r="AB942" s="23"/>
    </row>
    <row r="943">
      <c r="A943" s="4"/>
      <c r="K943" s="4"/>
      <c r="L943" s="4"/>
      <c r="M943" s="4"/>
      <c r="N943" s="4"/>
      <c r="O943" s="29"/>
      <c r="P943" s="4"/>
      <c r="Q943" s="4"/>
      <c r="R943" s="4"/>
      <c r="T943" s="17"/>
      <c r="V943" s="18"/>
      <c r="W943" s="19"/>
      <c r="X943" s="17"/>
      <c r="AB943" s="23"/>
    </row>
    <row r="944">
      <c r="A944" s="4"/>
      <c r="K944" s="4"/>
      <c r="L944" s="4"/>
      <c r="M944" s="4"/>
      <c r="N944" s="4"/>
      <c r="O944" s="29"/>
      <c r="P944" s="4"/>
      <c r="Q944" s="4"/>
      <c r="R944" s="4"/>
      <c r="T944" s="17"/>
      <c r="V944" s="18"/>
      <c r="W944" s="19"/>
      <c r="X944" s="17"/>
      <c r="AB944" s="23"/>
    </row>
    <row r="945">
      <c r="A945" s="4"/>
      <c r="K945" s="4"/>
      <c r="L945" s="4"/>
      <c r="M945" s="4"/>
      <c r="N945" s="4"/>
      <c r="O945" s="29"/>
      <c r="P945" s="4"/>
      <c r="Q945" s="4"/>
      <c r="R945" s="4"/>
      <c r="T945" s="17"/>
      <c r="V945" s="18"/>
      <c r="W945" s="19"/>
      <c r="X945" s="17"/>
      <c r="AB945" s="23"/>
    </row>
    <row r="946">
      <c r="A946" s="4"/>
      <c r="K946" s="4"/>
      <c r="L946" s="4"/>
      <c r="M946" s="4"/>
      <c r="N946" s="4"/>
      <c r="O946" s="29"/>
      <c r="P946" s="4"/>
      <c r="Q946" s="4"/>
      <c r="R946" s="4"/>
      <c r="T946" s="17"/>
      <c r="V946" s="18"/>
      <c r="W946" s="19"/>
      <c r="X946" s="17"/>
      <c r="AB946" s="23"/>
    </row>
    <row r="947">
      <c r="A947" s="4"/>
      <c r="K947" s="4"/>
      <c r="L947" s="4"/>
      <c r="M947" s="4"/>
      <c r="N947" s="4"/>
      <c r="O947" s="29"/>
      <c r="P947" s="4"/>
      <c r="Q947" s="4"/>
      <c r="R947" s="4"/>
      <c r="T947" s="17"/>
      <c r="V947" s="18"/>
      <c r="W947" s="19"/>
      <c r="X947" s="17"/>
      <c r="AB947" s="23"/>
    </row>
    <row r="948">
      <c r="A948" s="4"/>
      <c r="K948" s="4"/>
      <c r="L948" s="4"/>
      <c r="M948" s="4"/>
      <c r="N948" s="4"/>
      <c r="O948" s="29"/>
      <c r="P948" s="4"/>
      <c r="Q948" s="4"/>
      <c r="R948" s="4"/>
      <c r="T948" s="17"/>
      <c r="V948" s="18"/>
      <c r="W948" s="19"/>
      <c r="X948" s="17"/>
      <c r="AB948" s="23"/>
    </row>
    <row r="949">
      <c r="A949" s="4"/>
      <c r="K949" s="4"/>
      <c r="L949" s="4"/>
      <c r="M949" s="4"/>
      <c r="N949" s="4"/>
      <c r="O949" s="29"/>
      <c r="P949" s="4"/>
      <c r="Q949" s="4"/>
      <c r="R949" s="4"/>
      <c r="T949" s="17"/>
      <c r="V949" s="18"/>
      <c r="W949" s="19"/>
      <c r="X949" s="17"/>
      <c r="AB949" s="23"/>
    </row>
    <row r="950">
      <c r="A950" s="4"/>
      <c r="K950" s="4"/>
      <c r="L950" s="4"/>
      <c r="M950" s="4"/>
      <c r="N950" s="4"/>
      <c r="O950" s="29"/>
      <c r="P950" s="4"/>
      <c r="Q950" s="4"/>
      <c r="R950" s="4"/>
      <c r="T950" s="17"/>
      <c r="V950" s="18"/>
      <c r="W950" s="19"/>
      <c r="X950" s="17"/>
      <c r="AB950" s="23"/>
    </row>
    <row r="951">
      <c r="A951" s="4"/>
      <c r="K951" s="4"/>
      <c r="L951" s="4"/>
      <c r="M951" s="4"/>
      <c r="N951" s="4"/>
      <c r="O951" s="29"/>
      <c r="P951" s="4"/>
      <c r="Q951" s="4"/>
      <c r="R951" s="4"/>
      <c r="T951" s="17"/>
      <c r="V951" s="18"/>
      <c r="W951" s="19"/>
      <c r="X951" s="17"/>
      <c r="AB951" s="23"/>
    </row>
    <row r="952">
      <c r="A952" s="4"/>
      <c r="K952" s="4"/>
      <c r="L952" s="4"/>
      <c r="M952" s="4"/>
      <c r="N952" s="4"/>
      <c r="O952" s="29"/>
      <c r="P952" s="4"/>
      <c r="Q952" s="4"/>
      <c r="R952" s="4"/>
      <c r="T952" s="17"/>
      <c r="V952" s="18"/>
      <c r="W952" s="19"/>
      <c r="X952" s="17"/>
      <c r="AB952" s="23"/>
    </row>
    <row r="953">
      <c r="A953" s="4"/>
      <c r="K953" s="4"/>
      <c r="L953" s="4"/>
      <c r="M953" s="4"/>
      <c r="N953" s="4"/>
      <c r="O953" s="29"/>
      <c r="P953" s="4"/>
      <c r="Q953" s="4"/>
      <c r="R953" s="4"/>
      <c r="T953" s="17"/>
      <c r="V953" s="18"/>
      <c r="W953" s="19"/>
      <c r="X953" s="17"/>
      <c r="AB953" s="23"/>
    </row>
    <row r="954">
      <c r="A954" s="4"/>
      <c r="K954" s="4"/>
      <c r="L954" s="4"/>
      <c r="M954" s="4"/>
      <c r="N954" s="4"/>
      <c r="O954" s="29"/>
      <c r="P954" s="4"/>
      <c r="Q954" s="4"/>
      <c r="R954" s="4"/>
      <c r="T954" s="17"/>
      <c r="V954" s="18"/>
      <c r="W954" s="19"/>
      <c r="X954" s="17"/>
      <c r="AB954" s="23"/>
    </row>
    <row r="955">
      <c r="A955" s="4"/>
      <c r="K955" s="4"/>
      <c r="L955" s="4"/>
      <c r="M955" s="4"/>
      <c r="N955" s="4"/>
      <c r="O955" s="29"/>
      <c r="P955" s="4"/>
      <c r="Q955" s="4"/>
      <c r="R955" s="4"/>
      <c r="T955" s="17"/>
      <c r="V955" s="18"/>
      <c r="W955" s="19"/>
      <c r="X955" s="17"/>
      <c r="AB955" s="23"/>
    </row>
    <row r="956">
      <c r="A956" s="4"/>
      <c r="K956" s="4"/>
      <c r="L956" s="4"/>
      <c r="M956" s="4"/>
      <c r="N956" s="4"/>
      <c r="O956" s="29"/>
      <c r="P956" s="4"/>
      <c r="Q956" s="4"/>
      <c r="R956" s="4"/>
      <c r="T956" s="17"/>
      <c r="V956" s="18"/>
      <c r="W956" s="19"/>
      <c r="X956" s="17"/>
      <c r="AB956" s="23"/>
    </row>
    <row r="957">
      <c r="A957" s="4"/>
      <c r="K957" s="4"/>
      <c r="L957" s="4"/>
      <c r="M957" s="4"/>
      <c r="N957" s="4"/>
      <c r="O957" s="29"/>
      <c r="P957" s="4"/>
      <c r="Q957" s="4"/>
      <c r="R957" s="4"/>
      <c r="T957" s="17"/>
      <c r="V957" s="18"/>
      <c r="W957" s="19"/>
      <c r="X957" s="17"/>
      <c r="AB957" s="23"/>
    </row>
    <row r="958">
      <c r="A958" s="4"/>
      <c r="K958" s="4"/>
      <c r="L958" s="4"/>
      <c r="M958" s="4"/>
      <c r="N958" s="4"/>
      <c r="O958" s="29"/>
      <c r="P958" s="4"/>
      <c r="Q958" s="4"/>
      <c r="R958" s="4"/>
      <c r="T958" s="17"/>
      <c r="V958" s="18"/>
      <c r="W958" s="19"/>
      <c r="X958" s="17"/>
      <c r="AB958" s="23"/>
    </row>
    <row r="959">
      <c r="A959" s="4"/>
      <c r="K959" s="4"/>
      <c r="L959" s="4"/>
      <c r="M959" s="4"/>
      <c r="N959" s="4"/>
      <c r="O959" s="29"/>
      <c r="P959" s="4"/>
      <c r="Q959" s="4"/>
      <c r="R959" s="4"/>
      <c r="T959" s="17"/>
      <c r="V959" s="18"/>
      <c r="W959" s="19"/>
      <c r="X959" s="17"/>
      <c r="AB959" s="23"/>
    </row>
    <row r="960">
      <c r="A960" s="4"/>
      <c r="K960" s="4"/>
      <c r="L960" s="4"/>
      <c r="M960" s="4"/>
      <c r="N960" s="4"/>
      <c r="O960" s="29"/>
      <c r="P960" s="4"/>
      <c r="Q960" s="4"/>
      <c r="R960" s="4"/>
      <c r="T960" s="17"/>
      <c r="V960" s="18"/>
      <c r="W960" s="19"/>
      <c r="X960" s="17"/>
      <c r="AB960" s="23"/>
    </row>
    <row r="961">
      <c r="A961" s="4"/>
      <c r="K961" s="4"/>
      <c r="L961" s="4"/>
      <c r="M961" s="4"/>
      <c r="N961" s="4"/>
      <c r="O961" s="29"/>
      <c r="P961" s="4"/>
      <c r="Q961" s="4"/>
      <c r="R961" s="4"/>
      <c r="T961" s="17"/>
      <c r="V961" s="18"/>
      <c r="W961" s="19"/>
      <c r="X961" s="17"/>
      <c r="AB961" s="23"/>
    </row>
    <row r="962">
      <c r="A962" s="4"/>
      <c r="K962" s="4"/>
      <c r="L962" s="4"/>
      <c r="M962" s="4"/>
      <c r="N962" s="4"/>
      <c r="O962" s="29"/>
      <c r="P962" s="4"/>
      <c r="Q962" s="4"/>
      <c r="R962" s="4"/>
      <c r="T962" s="17"/>
      <c r="V962" s="18"/>
      <c r="W962" s="19"/>
      <c r="X962" s="17"/>
      <c r="AB962" s="23"/>
    </row>
    <row r="963">
      <c r="A963" s="4"/>
      <c r="K963" s="4"/>
      <c r="L963" s="4"/>
      <c r="M963" s="4"/>
      <c r="N963" s="4"/>
      <c r="O963" s="29"/>
      <c r="P963" s="4"/>
      <c r="Q963" s="4"/>
      <c r="R963" s="4"/>
      <c r="T963" s="17"/>
      <c r="V963" s="18"/>
      <c r="W963" s="19"/>
      <c r="X963" s="17"/>
      <c r="AB963" s="23"/>
    </row>
    <row r="964">
      <c r="A964" s="4"/>
      <c r="K964" s="4"/>
      <c r="L964" s="4"/>
      <c r="M964" s="4"/>
      <c r="N964" s="4"/>
      <c r="O964" s="29"/>
      <c r="P964" s="4"/>
      <c r="Q964" s="4"/>
      <c r="R964" s="4"/>
      <c r="T964" s="17"/>
      <c r="V964" s="18"/>
      <c r="W964" s="19"/>
      <c r="X964" s="17"/>
      <c r="AB964" s="23"/>
    </row>
    <row r="965">
      <c r="A965" s="4"/>
      <c r="K965" s="4"/>
      <c r="L965" s="4"/>
      <c r="M965" s="4"/>
      <c r="N965" s="4"/>
      <c r="O965" s="29"/>
      <c r="P965" s="4"/>
      <c r="Q965" s="4"/>
      <c r="R965" s="4"/>
      <c r="T965" s="17"/>
      <c r="V965" s="18"/>
      <c r="W965" s="19"/>
      <c r="X965" s="17"/>
      <c r="AB965" s="23"/>
    </row>
    <row r="966">
      <c r="A966" s="4"/>
      <c r="K966" s="4"/>
      <c r="L966" s="4"/>
      <c r="M966" s="4"/>
      <c r="N966" s="4"/>
      <c r="O966" s="29"/>
      <c r="P966" s="4"/>
      <c r="Q966" s="4"/>
      <c r="R966" s="4"/>
      <c r="T966" s="17"/>
      <c r="V966" s="18"/>
      <c r="W966" s="19"/>
      <c r="X966" s="17"/>
      <c r="AB966" s="23"/>
    </row>
    <row r="967">
      <c r="A967" s="4"/>
      <c r="K967" s="4"/>
      <c r="L967" s="4"/>
      <c r="M967" s="4"/>
      <c r="N967" s="4"/>
      <c r="O967" s="29"/>
      <c r="P967" s="4"/>
      <c r="Q967" s="4"/>
      <c r="R967" s="4"/>
      <c r="T967" s="17"/>
      <c r="V967" s="18"/>
      <c r="W967" s="19"/>
      <c r="X967" s="17"/>
      <c r="AB967" s="23"/>
    </row>
    <row r="968">
      <c r="A968" s="4"/>
      <c r="K968" s="4"/>
      <c r="L968" s="4"/>
      <c r="M968" s="4"/>
      <c r="N968" s="4"/>
      <c r="O968" s="29"/>
      <c r="P968" s="4"/>
      <c r="Q968" s="4"/>
      <c r="R968" s="4"/>
      <c r="T968" s="17"/>
      <c r="V968" s="18"/>
      <c r="W968" s="19"/>
      <c r="X968" s="17"/>
      <c r="AB968" s="23"/>
    </row>
    <row r="969">
      <c r="A969" s="4"/>
      <c r="K969" s="4"/>
      <c r="L969" s="4"/>
      <c r="M969" s="4"/>
      <c r="N969" s="4"/>
      <c r="O969" s="29"/>
      <c r="P969" s="4"/>
      <c r="Q969" s="4"/>
      <c r="R969" s="4"/>
      <c r="T969" s="17"/>
      <c r="V969" s="18"/>
      <c r="W969" s="19"/>
      <c r="X969" s="17"/>
      <c r="AB969" s="23"/>
    </row>
    <row r="970">
      <c r="A970" s="4"/>
      <c r="K970" s="4"/>
      <c r="L970" s="4"/>
      <c r="M970" s="4"/>
      <c r="N970" s="4"/>
      <c r="O970" s="29"/>
      <c r="P970" s="4"/>
      <c r="Q970" s="4"/>
      <c r="R970" s="4"/>
      <c r="T970" s="17"/>
      <c r="V970" s="18"/>
      <c r="W970" s="19"/>
      <c r="X970" s="17"/>
      <c r="AB970" s="23"/>
    </row>
    <row r="971">
      <c r="A971" s="4"/>
      <c r="K971" s="4"/>
      <c r="L971" s="4"/>
      <c r="M971" s="4"/>
      <c r="N971" s="4"/>
      <c r="O971" s="29"/>
      <c r="P971" s="4"/>
      <c r="Q971" s="4"/>
      <c r="R971" s="4"/>
      <c r="T971" s="17"/>
      <c r="V971" s="18"/>
      <c r="W971" s="19"/>
      <c r="X971" s="17"/>
      <c r="AB971" s="23"/>
    </row>
    <row r="972">
      <c r="A972" s="4"/>
      <c r="K972" s="4"/>
      <c r="L972" s="4"/>
      <c r="M972" s="4"/>
      <c r="N972" s="4"/>
      <c r="O972" s="29"/>
      <c r="P972" s="4"/>
      <c r="Q972" s="4"/>
      <c r="R972" s="4"/>
      <c r="T972" s="17"/>
      <c r="V972" s="18"/>
      <c r="W972" s="19"/>
      <c r="X972" s="17"/>
      <c r="AB972" s="23"/>
    </row>
    <row r="973">
      <c r="A973" s="4"/>
      <c r="K973" s="4"/>
      <c r="L973" s="4"/>
      <c r="M973" s="4"/>
      <c r="N973" s="4"/>
      <c r="O973" s="29"/>
      <c r="P973" s="4"/>
      <c r="Q973" s="4"/>
      <c r="R973" s="4"/>
      <c r="T973" s="17"/>
      <c r="V973" s="18"/>
      <c r="W973" s="19"/>
      <c r="X973" s="17"/>
      <c r="AB973" s="23"/>
    </row>
    <row r="974">
      <c r="A974" s="4"/>
      <c r="K974" s="4"/>
      <c r="L974" s="4"/>
      <c r="M974" s="4"/>
      <c r="N974" s="4"/>
      <c r="O974" s="29"/>
      <c r="P974" s="4"/>
      <c r="Q974" s="4"/>
      <c r="R974" s="4"/>
      <c r="T974" s="17"/>
      <c r="V974" s="18"/>
      <c r="W974" s="19"/>
      <c r="X974" s="17"/>
      <c r="AB974" s="23"/>
    </row>
    <row r="975">
      <c r="A975" s="4"/>
      <c r="K975" s="4"/>
      <c r="L975" s="4"/>
      <c r="M975" s="4"/>
      <c r="N975" s="4"/>
      <c r="O975" s="29"/>
      <c r="P975" s="4"/>
      <c r="Q975" s="4"/>
      <c r="R975" s="4"/>
      <c r="T975" s="17"/>
      <c r="V975" s="18"/>
      <c r="W975" s="19"/>
      <c r="X975" s="17"/>
      <c r="AB975" s="23"/>
    </row>
    <row r="976">
      <c r="A976" s="4"/>
      <c r="K976" s="4"/>
      <c r="L976" s="4"/>
      <c r="M976" s="4"/>
      <c r="N976" s="4"/>
      <c r="O976" s="29"/>
      <c r="P976" s="4"/>
      <c r="Q976" s="4"/>
      <c r="R976" s="4"/>
      <c r="T976" s="17"/>
      <c r="V976" s="18"/>
      <c r="W976" s="19"/>
      <c r="X976" s="17"/>
      <c r="AB976" s="23"/>
    </row>
    <row r="977">
      <c r="A977" s="4"/>
      <c r="K977" s="4"/>
      <c r="L977" s="4"/>
      <c r="M977" s="4"/>
      <c r="N977" s="4"/>
      <c r="O977" s="29"/>
      <c r="P977" s="4"/>
      <c r="Q977" s="4"/>
      <c r="R977" s="4"/>
      <c r="T977" s="17"/>
      <c r="V977" s="18"/>
      <c r="W977" s="19"/>
      <c r="X977" s="17"/>
      <c r="AB977" s="23"/>
    </row>
    <row r="978">
      <c r="A978" s="4"/>
      <c r="K978" s="4"/>
      <c r="L978" s="4"/>
      <c r="M978" s="4"/>
      <c r="N978" s="4"/>
      <c r="O978" s="29"/>
      <c r="P978" s="4"/>
      <c r="Q978" s="4"/>
      <c r="R978" s="4"/>
      <c r="T978" s="17"/>
      <c r="V978" s="18"/>
      <c r="W978" s="19"/>
      <c r="X978" s="17"/>
      <c r="AB978" s="23"/>
    </row>
    <row r="979">
      <c r="A979" s="4"/>
      <c r="K979" s="4"/>
      <c r="L979" s="4"/>
      <c r="M979" s="4"/>
      <c r="N979" s="4"/>
      <c r="O979" s="29"/>
      <c r="P979" s="4"/>
      <c r="Q979" s="4"/>
      <c r="R979" s="4"/>
      <c r="T979" s="17"/>
      <c r="V979" s="18"/>
      <c r="W979" s="19"/>
      <c r="X979" s="17"/>
      <c r="AB979" s="23"/>
    </row>
    <row r="980">
      <c r="A980" s="4"/>
      <c r="K980" s="4"/>
      <c r="L980" s="4"/>
      <c r="M980" s="4"/>
      <c r="N980" s="4"/>
      <c r="O980" s="29"/>
      <c r="P980" s="4"/>
      <c r="Q980" s="4"/>
      <c r="R980" s="4"/>
      <c r="T980" s="17"/>
      <c r="V980" s="18"/>
      <c r="W980" s="19"/>
      <c r="X980" s="17"/>
      <c r="AB980" s="23"/>
    </row>
    <row r="981">
      <c r="A981" s="4"/>
      <c r="K981" s="4"/>
      <c r="L981" s="4"/>
      <c r="M981" s="4"/>
      <c r="N981" s="4"/>
      <c r="O981" s="29"/>
      <c r="P981" s="4"/>
      <c r="Q981" s="4"/>
      <c r="R981" s="4"/>
      <c r="T981" s="17"/>
      <c r="V981" s="18"/>
      <c r="W981" s="19"/>
      <c r="X981" s="17"/>
      <c r="AB981" s="23"/>
    </row>
    <row r="982">
      <c r="A982" s="4"/>
      <c r="K982" s="4"/>
      <c r="L982" s="4"/>
      <c r="M982" s="4"/>
      <c r="N982" s="4"/>
      <c r="O982" s="29"/>
      <c r="P982" s="4"/>
      <c r="Q982" s="4"/>
      <c r="R982" s="4"/>
      <c r="T982" s="17"/>
      <c r="V982" s="18"/>
      <c r="W982" s="19"/>
      <c r="X982" s="17"/>
      <c r="AB982" s="23"/>
    </row>
    <row r="983">
      <c r="A983" s="4"/>
      <c r="K983" s="4"/>
      <c r="L983" s="4"/>
      <c r="M983" s="4"/>
      <c r="N983" s="4"/>
      <c r="O983" s="29"/>
      <c r="P983" s="4"/>
      <c r="Q983" s="4"/>
      <c r="R983" s="4"/>
      <c r="T983" s="17"/>
      <c r="V983" s="18"/>
      <c r="W983" s="19"/>
      <c r="X983" s="17"/>
      <c r="AB983" s="23"/>
    </row>
    <row r="984">
      <c r="A984" s="4"/>
      <c r="K984" s="4"/>
      <c r="L984" s="4"/>
      <c r="M984" s="4"/>
      <c r="N984" s="4"/>
      <c r="O984" s="29"/>
      <c r="P984" s="4"/>
      <c r="Q984" s="4"/>
      <c r="R984" s="4"/>
      <c r="T984" s="17"/>
      <c r="V984" s="18"/>
      <c r="W984" s="19"/>
      <c r="X984" s="17"/>
      <c r="AB984" s="23"/>
    </row>
    <row r="985">
      <c r="A985" s="4"/>
      <c r="K985" s="4"/>
      <c r="L985" s="4"/>
      <c r="M985" s="4"/>
      <c r="N985" s="4"/>
      <c r="O985" s="29"/>
      <c r="P985" s="4"/>
      <c r="Q985" s="4"/>
      <c r="R985" s="4"/>
      <c r="T985" s="17"/>
      <c r="V985" s="18"/>
      <c r="W985" s="19"/>
      <c r="X985" s="17"/>
      <c r="AB985" s="23"/>
    </row>
    <row r="986">
      <c r="A986" s="4"/>
      <c r="K986" s="4"/>
      <c r="L986" s="4"/>
      <c r="M986" s="4"/>
      <c r="N986" s="4"/>
      <c r="O986" s="29"/>
      <c r="P986" s="4"/>
      <c r="Q986" s="4"/>
      <c r="R986" s="4"/>
      <c r="T986" s="17"/>
      <c r="V986" s="18"/>
      <c r="W986" s="19"/>
      <c r="X986" s="17"/>
      <c r="AB986" s="23"/>
    </row>
    <row r="987">
      <c r="A987" s="4"/>
      <c r="K987" s="4"/>
      <c r="L987" s="4"/>
      <c r="M987" s="4"/>
      <c r="N987" s="4"/>
      <c r="O987" s="29"/>
      <c r="P987" s="4"/>
      <c r="Q987" s="4"/>
      <c r="R987" s="4"/>
      <c r="T987" s="17"/>
      <c r="V987" s="18"/>
      <c r="W987" s="19"/>
      <c r="X987" s="17"/>
      <c r="AB987" s="23"/>
    </row>
    <row r="988">
      <c r="A988" s="4"/>
      <c r="K988" s="4"/>
      <c r="L988" s="4"/>
      <c r="M988" s="4"/>
      <c r="N988" s="4"/>
      <c r="O988" s="29"/>
      <c r="P988" s="4"/>
      <c r="Q988" s="4"/>
      <c r="R988" s="4"/>
      <c r="T988" s="17"/>
      <c r="V988" s="18"/>
      <c r="W988" s="19"/>
      <c r="X988" s="17"/>
      <c r="AB988" s="23"/>
    </row>
    <row r="989">
      <c r="A989" s="4"/>
      <c r="K989" s="4"/>
      <c r="L989" s="4"/>
      <c r="M989" s="4"/>
      <c r="N989" s="4"/>
      <c r="O989" s="29"/>
      <c r="P989" s="4"/>
      <c r="Q989" s="4"/>
      <c r="R989" s="4"/>
      <c r="T989" s="17"/>
      <c r="V989" s="18"/>
      <c r="W989" s="19"/>
      <c r="X989" s="17"/>
      <c r="AB989" s="23"/>
    </row>
    <row r="990">
      <c r="A990" s="4"/>
      <c r="K990" s="4"/>
      <c r="L990" s="4"/>
      <c r="M990" s="4"/>
      <c r="N990" s="4"/>
      <c r="O990" s="29"/>
      <c r="P990" s="4"/>
      <c r="Q990" s="4"/>
      <c r="R990" s="4"/>
      <c r="T990" s="17"/>
      <c r="V990" s="18"/>
      <c r="W990" s="19"/>
      <c r="X990" s="17"/>
      <c r="AB990" s="23"/>
    </row>
    <row r="991">
      <c r="A991" s="4"/>
      <c r="K991" s="4"/>
      <c r="L991" s="4"/>
      <c r="M991" s="4"/>
      <c r="N991" s="4"/>
      <c r="O991" s="29"/>
      <c r="P991" s="4"/>
      <c r="Q991" s="4"/>
      <c r="R991" s="4"/>
      <c r="T991" s="17"/>
      <c r="V991" s="18"/>
      <c r="W991" s="19"/>
      <c r="X991" s="17"/>
      <c r="AB991" s="23"/>
    </row>
    <row r="992">
      <c r="A992" s="4"/>
      <c r="K992" s="4"/>
      <c r="L992" s="4"/>
      <c r="M992" s="4"/>
      <c r="N992" s="4"/>
      <c r="O992" s="29"/>
      <c r="P992" s="4"/>
      <c r="Q992" s="4"/>
      <c r="R992" s="4"/>
      <c r="T992" s="17"/>
      <c r="V992" s="18"/>
      <c r="W992" s="19"/>
      <c r="X992" s="17"/>
      <c r="AB992" s="23"/>
    </row>
    <row r="993">
      <c r="A993" s="4"/>
      <c r="K993" s="4"/>
      <c r="L993" s="4"/>
      <c r="M993" s="4"/>
      <c r="N993" s="4"/>
      <c r="O993" s="29"/>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1" t="s">
        <v>321</v>
      </c>
      <c r="B1" s="31" t="s">
        <v>322</v>
      </c>
      <c r="C1" s="32"/>
      <c r="D1" s="32"/>
      <c r="E1" s="32"/>
      <c r="F1" s="32"/>
      <c r="G1" s="10"/>
      <c r="H1" s="10"/>
      <c r="I1" s="10"/>
      <c r="J1" s="10"/>
      <c r="K1" s="10"/>
      <c r="L1" s="10"/>
    </row>
    <row r="2">
      <c r="A2" s="33"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2"/>
      <c r="D2" s="32"/>
      <c r="E2" s="32"/>
      <c r="F2" s="32"/>
      <c r="G2" s="10"/>
      <c r="H2" s="35"/>
      <c r="I2" s="10"/>
      <c r="J2" s="10"/>
      <c r="K2" s="10"/>
      <c r="L2" s="10"/>
    </row>
    <row r="3">
      <c r="A3" s="33"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2"/>
      <c r="D3" s="32"/>
      <c r="E3" s="32"/>
      <c r="F3" s="32"/>
      <c r="G3" s="10"/>
      <c r="H3" s="10"/>
      <c r="I3" s="10"/>
      <c r="J3" s="10"/>
      <c r="K3" s="10"/>
      <c r="L3" s="10"/>
    </row>
    <row r="4">
      <c r="A4" s="33"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2"/>
      <c r="D4" s="32"/>
      <c r="E4" s="32"/>
      <c r="F4" s="32"/>
      <c r="G4" s="10"/>
      <c r="H4" s="10"/>
      <c r="I4" s="36"/>
      <c r="J4" s="36"/>
      <c r="K4" s="10"/>
      <c r="L4" s="10"/>
    </row>
    <row r="5">
      <c r="A5" s="33"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2"/>
      <c r="D5" s="32"/>
      <c r="E5" s="32"/>
      <c r="F5" s="32"/>
      <c r="G5" s="10"/>
      <c r="H5" s="10"/>
      <c r="I5" s="10"/>
      <c r="J5" s="9"/>
      <c r="K5" s="10"/>
      <c r="L5" s="10"/>
    </row>
    <row r="6">
      <c r="A6" s="33"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2"/>
      <c r="D6" s="32"/>
      <c r="E6" s="32"/>
      <c r="F6" s="32"/>
      <c r="G6" s="10"/>
      <c r="H6" s="36"/>
      <c r="I6" s="10"/>
      <c r="J6" s="10"/>
      <c r="K6" s="10"/>
      <c r="L6" s="10"/>
    </row>
    <row r="7">
      <c r="A7" s="33"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2"/>
      <c r="D7" s="32"/>
      <c r="E7" s="32"/>
      <c r="F7" s="32"/>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2"/>
      <c r="D8" s="32"/>
      <c r="E8" s="32"/>
      <c r="F8" s="32"/>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2"/>
      <c r="D9" s="32"/>
      <c r="E9" s="32"/>
      <c r="F9" s="32"/>
      <c r="G9" s="10"/>
      <c r="H9" s="10"/>
      <c r="I9" s="10"/>
      <c r="J9" s="10"/>
      <c r="K9" s="10"/>
      <c r="L9" s="10"/>
      <c r="M9" s="37"/>
      <c r="N9" s="37"/>
      <c r="O9" s="37"/>
      <c r="P9" s="37"/>
      <c r="Q9" s="37"/>
      <c r="R9" s="37"/>
      <c r="S9" s="37"/>
      <c r="T9" s="37"/>
      <c r="U9" s="37"/>
      <c r="V9" s="37"/>
      <c r="W9" s="37"/>
      <c r="X9" s="37"/>
    </row>
    <row r="10">
      <c r="B10" s="32"/>
      <c r="C10" s="32"/>
      <c r="D10" s="32"/>
      <c r="E10" s="32"/>
      <c r="F10" s="32"/>
      <c r="G10" s="10"/>
      <c r="H10" s="10"/>
      <c r="I10" s="10"/>
      <c r="J10" s="10"/>
      <c r="K10" s="10"/>
      <c r="L10" s="10"/>
    </row>
    <row r="11">
      <c r="A11" s="32"/>
      <c r="B11" s="32"/>
      <c r="C11" s="32"/>
      <c r="D11" s="32"/>
      <c r="E11" s="32"/>
      <c r="F11" s="32"/>
      <c r="G11" s="10"/>
      <c r="H11" s="10"/>
      <c r="I11" s="10"/>
      <c r="J11" s="10"/>
      <c r="K11" s="10"/>
      <c r="L11" s="10"/>
    </row>
    <row r="12" ht="22.5" customHeight="1">
      <c r="A12" s="38" t="s">
        <v>323</v>
      </c>
      <c r="B12" s="38" t="s">
        <v>324</v>
      </c>
      <c r="C12" s="38" t="s">
        <v>325</v>
      </c>
      <c r="D12" s="38" t="s">
        <v>326</v>
      </c>
      <c r="E12" s="39" t="s">
        <v>327</v>
      </c>
      <c r="F12" s="39" t="s">
        <v>328</v>
      </c>
      <c r="G12" s="39" t="s">
        <v>179</v>
      </c>
      <c r="H12" s="39" t="s">
        <v>240</v>
      </c>
      <c r="I12" s="39" t="s">
        <v>275</v>
      </c>
      <c r="J12" s="39" t="s">
        <v>329</v>
      </c>
      <c r="K12" s="39" t="s">
        <v>330</v>
      </c>
      <c r="L12" s="39" t="s">
        <v>331</v>
      </c>
      <c r="M12" s="10"/>
    </row>
    <row r="13" ht="22.5" customHeight="1">
      <c r="A13" s="40" t="s">
        <v>332</v>
      </c>
      <c r="B13" s="40" t="s">
        <v>333</v>
      </c>
      <c r="C13" s="40" t="s">
        <v>334</v>
      </c>
      <c r="D13" s="41"/>
      <c r="E13" s="40" t="s">
        <v>335</v>
      </c>
      <c r="F13" s="42" t="s">
        <v>336</v>
      </c>
      <c r="G13" s="42" t="s">
        <v>336</v>
      </c>
      <c r="H13" s="42" t="s">
        <v>336</v>
      </c>
      <c r="I13" s="42" t="s">
        <v>336</v>
      </c>
      <c r="J13" s="42" t="s">
        <v>336</v>
      </c>
      <c r="K13" s="42" t="s">
        <v>336</v>
      </c>
      <c r="L13" s="42" t="s">
        <v>335</v>
      </c>
    </row>
    <row r="14" ht="22.5" customHeight="1">
      <c r="A14" s="43" t="s">
        <v>337</v>
      </c>
      <c r="B14" s="43" t="s">
        <v>338</v>
      </c>
      <c r="C14" s="43" t="s">
        <v>334</v>
      </c>
      <c r="D14" s="44"/>
      <c r="E14" s="43" t="s">
        <v>335</v>
      </c>
      <c r="F14" s="45" t="s">
        <v>336</v>
      </c>
      <c r="G14" s="45" t="s">
        <v>336</v>
      </c>
      <c r="H14" s="45" t="s">
        <v>336</v>
      </c>
      <c r="I14" s="45" t="s">
        <v>336</v>
      </c>
      <c r="J14" s="45" t="s">
        <v>336</v>
      </c>
      <c r="K14" s="45" t="s">
        <v>336</v>
      </c>
      <c r="L14" s="44"/>
    </row>
    <row r="15" ht="22.5" customHeight="1">
      <c r="A15" s="40" t="s">
        <v>339</v>
      </c>
      <c r="B15" s="40" t="s">
        <v>340</v>
      </c>
      <c r="C15" s="40" t="s">
        <v>341</v>
      </c>
      <c r="D15" s="41"/>
      <c r="E15" s="40" t="s">
        <v>342</v>
      </c>
      <c r="F15" s="46" t="s">
        <v>335</v>
      </c>
      <c r="G15" s="46" t="s">
        <v>343</v>
      </c>
      <c r="H15" s="46" t="s">
        <v>343</v>
      </c>
      <c r="I15" s="46" t="s">
        <v>343</v>
      </c>
      <c r="J15" s="46" t="s">
        <v>342</v>
      </c>
      <c r="K15" s="46" t="s">
        <v>344</v>
      </c>
      <c r="L15" s="41"/>
    </row>
    <row r="16" ht="22.5" customHeight="1">
      <c r="A16" s="43" t="s">
        <v>345</v>
      </c>
      <c r="B16" s="43" t="s">
        <v>346</v>
      </c>
      <c r="C16" s="43" t="s">
        <v>347</v>
      </c>
      <c r="D16" s="44"/>
      <c r="E16" s="43" t="s">
        <v>335</v>
      </c>
      <c r="F16" s="45" t="s">
        <v>344</v>
      </c>
      <c r="G16" s="45" t="s">
        <v>344</v>
      </c>
      <c r="H16" s="45" t="s">
        <v>344</v>
      </c>
      <c r="I16" s="45" t="s">
        <v>344</v>
      </c>
      <c r="J16" s="45" t="s">
        <v>344</v>
      </c>
      <c r="K16" s="45" t="s">
        <v>344</v>
      </c>
      <c r="L16" s="44"/>
    </row>
    <row r="17" ht="22.5" customHeight="1">
      <c r="A17" s="40" t="s">
        <v>348</v>
      </c>
      <c r="B17" s="40" t="s">
        <v>349</v>
      </c>
      <c r="C17" s="40" t="s">
        <v>350</v>
      </c>
      <c r="D17" s="41"/>
      <c r="E17" s="40" t="s">
        <v>335</v>
      </c>
      <c r="F17" s="46" t="s">
        <v>342</v>
      </c>
      <c r="G17" s="46" t="s">
        <v>344</v>
      </c>
      <c r="H17" s="46" t="s">
        <v>344</v>
      </c>
      <c r="I17" s="46" t="s">
        <v>344</v>
      </c>
      <c r="J17" s="46" t="s">
        <v>335</v>
      </c>
      <c r="K17" s="46" t="s">
        <v>342</v>
      </c>
      <c r="L17" s="41"/>
    </row>
    <row r="18" ht="22.5" customHeight="1">
      <c r="A18" s="43" t="s">
        <v>351</v>
      </c>
      <c r="B18" s="43" t="s">
        <v>352</v>
      </c>
      <c r="C18" s="43" t="s">
        <v>353</v>
      </c>
      <c r="D18" s="43" t="s">
        <v>2</v>
      </c>
      <c r="E18" s="43" t="s">
        <v>335</v>
      </c>
      <c r="F18" s="44"/>
      <c r="G18" s="44"/>
      <c r="H18" s="44"/>
      <c r="I18" s="44"/>
      <c r="J18" s="44"/>
      <c r="K18" s="45" t="s">
        <v>354</v>
      </c>
      <c r="L18" s="44"/>
    </row>
    <row r="19" ht="22.5" customHeight="1">
      <c r="A19" s="40" t="s">
        <v>355</v>
      </c>
      <c r="B19" s="40" t="s">
        <v>356</v>
      </c>
      <c r="C19" s="40" t="s">
        <v>353</v>
      </c>
      <c r="D19" s="40" t="s">
        <v>2</v>
      </c>
      <c r="E19" s="40" t="s">
        <v>335</v>
      </c>
      <c r="F19" s="41"/>
      <c r="G19" s="41"/>
      <c r="H19" s="41"/>
      <c r="I19" s="41"/>
      <c r="J19" s="41"/>
      <c r="K19" s="46" t="s">
        <v>344</v>
      </c>
      <c r="L19" s="41"/>
    </row>
    <row r="20" ht="22.5" customHeight="1">
      <c r="A20" s="43" t="s">
        <v>357</v>
      </c>
      <c r="B20" s="43" t="s">
        <v>358</v>
      </c>
      <c r="C20" s="43" t="s">
        <v>359</v>
      </c>
      <c r="D20" s="43" t="s">
        <v>2</v>
      </c>
      <c r="E20" s="43" t="s">
        <v>335</v>
      </c>
      <c r="F20" s="44"/>
      <c r="G20" s="44"/>
      <c r="H20" s="44"/>
      <c r="I20" s="44"/>
      <c r="J20" s="44"/>
      <c r="K20" s="45" t="s">
        <v>343</v>
      </c>
      <c r="L20" s="44"/>
    </row>
    <row r="21" ht="22.5" customHeight="1">
      <c r="A21" s="40" t="s">
        <v>360</v>
      </c>
      <c r="B21" s="40" t="s">
        <v>361</v>
      </c>
      <c r="C21" s="40" t="s">
        <v>347</v>
      </c>
      <c r="D21" s="41"/>
      <c r="E21" s="46" t="s">
        <v>342</v>
      </c>
      <c r="F21" s="46" t="s">
        <v>342</v>
      </c>
      <c r="G21" s="46" t="s">
        <v>362</v>
      </c>
      <c r="H21" s="46" t="s">
        <v>362</v>
      </c>
      <c r="I21" s="47" t="s">
        <v>362</v>
      </c>
      <c r="J21" s="47" t="s">
        <v>363</v>
      </c>
      <c r="K21" s="47" t="s">
        <v>342</v>
      </c>
      <c r="L21" s="41"/>
    </row>
    <row r="22" ht="22.5" customHeight="1">
      <c r="A22" s="45" t="s">
        <v>364</v>
      </c>
      <c r="B22" s="45" t="s">
        <v>365</v>
      </c>
      <c r="C22" s="44"/>
      <c r="D22" s="45" t="s">
        <v>366</v>
      </c>
      <c r="E22" s="44"/>
      <c r="F22" s="44"/>
      <c r="G22" s="45" t="s">
        <v>344</v>
      </c>
      <c r="H22" s="45" t="s">
        <v>344</v>
      </c>
      <c r="I22" s="45" t="s">
        <v>344</v>
      </c>
      <c r="J22" s="44"/>
      <c r="K22" s="44"/>
      <c r="L22" s="44"/>
    </row>
    <row r="23" ht="22.5" customHeight="1">
      <c r="A23" s="46" t="s">
        <v>367</v>
      </c>
      <c r="B23" s="46" t="s">
        <v>368</v>
      </c>
      <c r="C23" s="41"/>
      <c r="D23" s="46" t="s">
        <v>366</v>
      </c>
      <c r="E23" s="41"/>
      <c r="F23" s="41"/>
      <c r="G23" s="46" t="s">
        <v>342</v>
      </c>
      <c r="H23" s="46" t="s">
        <v>342</v>
      </c>
      <c r="I23" s="46" t="s">
        <v>342</v>
      </c>
      <c r="J23" s="41"/>
      <c r="K23" s="41"/>
      <c r="L23" s="41"/>
    </row>
    <row r="24" ht="22.5" customHeight="1">
      <c r="A24" s="45" t="s">
        <v>369</v>
      </c>
      <c r="B24" s="45" t="s">
        <v>370</v>
      </c>
      <c r="C24" s="44"/>
      <c r="D24" s="45" t="s">
        <v>366</v>
      </c>
      <c r="E24" s="44"/>
      <c r="F24" s="44"/>
      <c r="G24" s="45" t="s">
        <v>344</v>
      </c>
      <c r="H24" s="45" t="s">
        <v>344</v>
      </c>
      <c r="I24" s="48" t="s">
        <v>344</v>
      </c>
      <c r="J24" s="49"/>
      <c r="K24" s="49"/>
      <c r="L24" s="44"/>
    </row>
    <row r="25" ht="22.5" customHeight="1">
      <c r="A25" s="46" t="s">
        <v>371</v>
      </c>
      <c r="B25" s="46" t="s">
        <v>372</v>
      </c>
      <c r="C25" s="41"/>
      <c r="D25" s="46" t="s">
        <v>7</v>
      </c>
      <c r="E25" s="41"/>
      <c r="F25" s="41"/>
      <c r="G25" s="46" t="s">
        <v>342</v>
      </c>
      <c r="H25" s="46" t="s">
        <v>342</v>
      </c>
      <c r="I25" s="47" t="s">
        <v>342</v>
      </c>
      <c r="J25" s="50"/>
      <c r="K25" s="50"/>
      <c r="L25" s="41"/>
    </row>
    <row r="26" ht="22.5" customHeight="1">
      <c r="A26" s="45" t="s">
        <v>373</v>
      </c>
      <c r="B26" s="45" t="s">
        <v>374</v>
      </c>
      <c r="C26" s="44" t="s">
        <v>375</v>
      </c>
      <c r="D26" s="45" t="s">
        <v>6</v>
      </c>
      <c r="E26" s="49"/>
      <c r="F26" s="44"/>
      <c r="G26" s="45" t="s">
        <v>335</v>
      </c>
      <c r="H26" s="44"/>
      <c r="I26" s="48" t="s">
        <v>343</v>
      </c>
      <c r="J26" s="44"/>
      <c r="K26" s="44"/>
      <c r="L26" s="44"/>
    </row>
    <row r="27" ht="22.5" customHeight="1">
      <c r="A27" s="46" t="s">
        <v>376</v>
      </c>
      <c r="B27" s="46" t="s">
        <v>377</v>
      </c>
      <c r="C27" s="41" t="s">
        <v>378</v>
      </c>
      <c r="D27" s="46" t="s">
        <v>6</v>
      </c>
      <c r="E27" s="50"/>
      <c r="F27" s="41"/>
      <c r="G27" s="46" t="s">
        <v>335</v>
      </c>
      <c r="H27" s="41"/>
      <c r="I27" s="47" t="s">
        <v>343</v>
      </c>
      <c r="J27" s="41"/>
      <c r="K27" s="41"/>
      <c r="L27" s="41"/>
    </row>
    <row r="28" ht="22.5" customHeight="1">
      <c r="A28" s="45" t="s">
        <v>379</v>
      </c>
      <c r="B28" s="45" t="s">
        <v>380</v>
      </c>
      <c r="C28" s="44"/>
      <c r="D28" s="45" t="s">
        <v>8</v>
      </c>
      <c r="E28" s="44"/>
      <c r="F28" s="44"/>
      <c r="G28" s="45" t="s">
        <v>342</v>
      </c>
      <c r="H28" s="45" t="s">
        <v>342</v>
      </c>
      <c r="I28" s="45" t="s">
        <v>342</v>
      </c>
      <c r="J28" s="45" t="s">
        <v>344</v>
      </c>
      <c r="K28" s="44"/>
      <c r="L28" s="44"/>
    </row>
    <row r="29" ht="22.5" customHeight="1">
      <c r="A29" s="46" t="s">
        <v>381</v>
      </c>
      <c r="B29" s="46" t="s">
        <v>382</v>
      </c>
      <c r="C29" s="41"/>
      <c r="D29" s="46" t="s">
        <v>8</v>
      </c>
      <c r="E29" s="41"/>
      <c r="F29" s="41"/>
      <c r="G29" s="46" t="s">
        <v>342</v>
      </c>
      <c r="H29" s="46" t="s">
        <v>342</v>
      </c>
      <c r="I29" s="46" t="s">
        <v>342</v>
      </c>
      <c r="J29" s="46" t="s">
        <v>344</v>
      </c>
      <c r="K29" s="41"/>
      <c r="L29" s="41"/>
    </row>
    <row r="30" ht="22.5" customHeight="1">
      <c r="A30" s="45" t="s">
        <v>383</v>
      </c>
      <c r="B30" s="45" t="s">
        <v>384</v>
      </c>
      <c r="C30" s="44"/>
      <c r="D30" s="45" t="s">
        <v>8</v>
      </c>
      <c r="E30" s="44"/>
      <c r="F30" s="44"/>
      <c r="G30" s="45" t="s">
        <v>344</v>
      </c>
      <c r="H30" s="45" t="s">
        <v>344</v>
      </c>
      <c r="I30" s="45" t="s">
        <v>344</v>
      </c>
      <c r="J30" s="45" t="s">
        <v>344</v>
      </c>
      <c r="K30" s="44"/>
      <c r="L30" s="44"/>
    </row>
    <row r="31" ht="22.5" customHeight="1">
      <c r="A31" s="46" t="s">
        <v>385</v>
      </c>
      <c r="B31" s="46" t="s">
        <v>386</v>
      </c>
      <c r="C31" s="41"/>
      <c r="D31" s="46" t="s">
        <v>8</v>
      </c>
      <c r="E31" s="41"/>
      <c r="F31" s="41"/>
      <c r="G31" s="46" t="s">
        <v>342</v>
      </c>
      <c r="H31" s="46" t="s">
        <v>342</v>
      </c>
      <c r="I31" s="46" t="s">
        <v>342</v>
      </c>
      <c r="J31" s="46" t="s">
        <v>344</v>
      </c>
      <c r="K31" s="41"/>
      <c r="L31" s="41"/>
    </row>
    <row r="32" ht="22.5" customHeight="1">
      <c r="A32" s="45" t="s">
        <v>387</v>
      </c>
      <c r="B32" s="45" t="s">
        <v>388</v>
      </c>
      <c r="C32" s="44"/>
      <c r="D32" s="45" t="s">
        <v>8</v>
      </c>
      <c r="E32" s="44"/>
      <c r="F32" s="44"/>
      <c r="G32" s="45" t="s">
        <v>335</v>
      </c>
      <c r="H32" s="45" t="s">
        <v>335</v>
      </c>
      <c r="I32" s="48" t="s">
        <v>335</v>
      </c>
      <c r="J32" s="48" t="s">
        <v>344</v>
      </c>
      <c r="K32" s="49"/>
      <c r="L32" s="44"/>
    </row>
    <row r="33" ht="22.5" customHeight="1">
      <c r="A33" s="46" t="s">
        <v>389</v>
      </c>
      <c r="B33" s="41"/>
      <c r="C33" s="41"/>
      <c r="D33" s="46" t="s">
        <v>1</v>
      </c>
      <c r="E33" s="41"/>
      <c r="F33" s="41"/>
      <c r="G33" s="41"/>
      <c r="H33" s="41"/>
      <c r="I33" s="41"/>
      <c r="J33" s="46" t="s">
        <v>344</v>
      </c>
      <c r="K33" s="41"/>
      <c r="L33" s="41"/>
    </row>
    <row r="34" ht="22.5" customHeight="1">
      <c r="A34" s="45" t="s">
        <v>389</v>
      </c>
      <c r="B34" s="44"/>
      <c r="C34" s="44"/>
      <c r="D34" s="45" t="s">
        <v>5</v>
      </c>
      <c r="E34" s="44"/>
      <c r="F34" s="44"/>
      <c r="G34" s="44"/>
      <c r="H34" s="44"/>
      <c r="I34" s="44"/>
      <c r="J34" s="45" t="s">
        <v>342</v>
      </c>
      <c r="K34" s="44"/>
      <c r="L34" s="44"/>
    </row>
    <row r="35" ht="22.5" customHeight="1">
      <c r="A35" s="46" t="s">
        <v>390</v>
      </c>
      <c r="B35" s="46" t="s">
        <v>391</v>
      </c>
      <c r="C35" s="41"/>
      <c r="D35" s="46" t="s">
        <v>1</v>
      </c>
      <c r="E35" s="41"/>
      <c r="F35" s="41"/>
      <c r="G35" s="41"/>
      <c r="H35" s="41"/>
      <c r="I35" s="41"/>
      <c r="J35" s="46" t="s">
        <v>335</v>
      </c>
      <c r="K35" s="41"/>
      <c r="L35" s="41"/>
    </row>
    <row r="36" ht="22.5" customHeight="1">
      <c r="A36" s="45" t="s">
        <v>392</v>
      </c>
      <c r="B36" s="45" t="s">
        <v>393</v>
      </c>
      <c r="C36" s="44"/>
      <c r="D36" s="45" t="s">
        <v>3</v>
      </c>
      <c r="E36" s="44"/>
      <c r="F36" s="44"/>
      <c r="G36" s="44"/>
      <c r="H36" s="44"/>
      <c r="I36" s="44"/>
      <c r="J36" s="44"/>
      <c r="K36" s="45" t="s">
        <v>344</v>
      </c>
      <c r="L36" s="44"/>
    </row>
    <row r="37" ht="22.5" customHeight="1">
      <c r="A37" s="46" t="s">
        <v>394</v>
      </c>
      <c r="B37" s="46" t="s">
        <v>395</v>
      </c>
      <c r="C37" s="41"/>
      <c r="D37" s="41"/>
      <c r="E37" s="41"/>
      <c r="F37" s="41"/>
      <c r="G37" s="41"/>
      <c r="H37" s="41"/>
      <c r="I37" s="41"/>
      <c r="J37" s="41"/>
      <c r="K37" s="46" t="s">
        <v>344</v>
      </c>
      <c r="L37" s="41"/>
    </row>
    <row r="38" ht="22.5" customHeight="1">
      <c r="A38" s="48" t="s">
        <v>396</v>
      </c>
      <c r="B38" s="48" t="s">
        <v>397</v>
      </c>
      <c r="C38" s="51" t="s">
        <v>398</v>
      </c>
      <c r="D38" s="52" t="s">
        <v>8</v>
      </c>
      <c r="E38" s="49"/>
      <c r="F38" s="49"/>
      <c r="G38" s="44"/>
      <c r="H38" s="44"/>
      <c r="I38" s="52" t="s">
        <v>335</v>
      </c>
      <c r="J38" s="49"/>
      <c r="K38" s="48" t="s">
        <v>344</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399</v>
      </c>
      <c r="D1" s="3" t="s">
        <v>400</v>
      </c>
      <c r="G1" s="3" t="s">
        <v>401</v>
      </c>
      <c r="H1" s="3" t="s">
        <v>402</v>
      </c>
      <c r="I1" s="3" t="s">
        <v>82</v>
      </c>
      <c r="J1" s="3" t="s">
        <v>403</v>
      </c>
      <c r="K1" s="3" t="s">
        <v>404</v>
      </c>
      <c r="L1" s="3" t="s">
        <v>405</v>
      </c>
      <c r="M1" s="3" t="s">
        <v>406</v>
      </c>
      <c r="N1" s="3" t="s">
        <v>407</v>
      </c>
      <c r="O1" s="3" t="s">
        <v>408</v>
      </c>
      <c r="P1" s="3" t="s">
        <v>409</v>
      </c>
      <c r="Q1" s="3" t="s">
        <v>410</v>
      </c>
      <c r="R1" s="3" t="s">
        <v>411</v>
      </c>
      <c r="S1" s="3" t="s">
        <v>412</v>
      </c>
      <c r="T1" s="3" t="s">
        <v>413</v>
      </c>
      <c r="U1" s="3" t="s">
        <v>414</v>
      </c>
      <c r="V1" s="3" t="s">
        <v>415</v>
      </c>
      <c r="W1" s="3" t="s">
        <v>416</v>
      </c>
      <c r="X1" s="3" t="s">
        <v>417</v>
      </c>
      <c r="Y1" s="3" t="s">
        <v>315</v>
      </c>
      <c r="Z1" s="3" t="s">
        <v>418</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419</v>
      </c>
      <c r="J2" s="3" t="s">
        <v>420</v>
      </c>
      <c r="K2" s="3">
        <v>53.0</v>
      </c>
      <c r="L2" s="3" t="s">
        <v>404</v>
      </c>
      <c r="M2" s="53" t="s">
        <v>421</v>
      </c>
      <c r="Q2" s="3">
        <v>916626.0</v>
      </c>
      <c r="R2" s="3">
        <v>202175.0</v>
      </c>
      <c r="S2" s="3" t="s">
        <v>422</v>
      </c>
      <c r="T2" s="3" t="s">
        <v>423</v>
      </c>
      <c r="U2" s="3">
        <v>546632.0</v>
      </c>
      <c r="V2" s="3">
        <v>607006.0</v>
      </c>
      <c r="W2" s="3" t="s">
        <v>424</v>
      </c>
      <c r="X2" s="3" t="s">
        <v>425</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426</v>
      </c>
      <c r="J3" s="3" t="s">
        <v>427</v>
      </c>
      <c r="K3" s="3">
        <v>53.0</v>
      </c>
      <c r="L3" s="3" t="s">
        <v>404</v>
      </c>
      <c r="M3" s="53" t="s">
        <v>421</v>
      </c>
      <c r="Q3" s="3">
        <v>912582.0</v>
      </c>
      <c r="R3" s="3">
        <v>200119.0</v>
      </c>
      <c r="S3" s="3" t="s">
        <v>428</v>
      </c>
      <c r="T3" s="3" t="s">
        <v>429</v>
      </c>
      <c r="U3" s="3">
        <v>533365.0</v>
      </c>
      <c r="V3" s="3">
        <v>600259.0</v>
      </c>
      <c r="W3" s="3" t="s">
        <v>430</v>
      </c>
      <c r="X3" s="3" t="s">
        <v>431</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432</v>
      </c>
      <c r="J4" s="3" t="s">
        <v>433</v>
      </c>
      <c r="K4" s="3">
        <v>53.0</v>
      </c>
      <c r="L4" s="3" t="s">
        <v>404</v>
      </c>
      <c r="M4" s="53" t="s">
        <v>421</v>
      </c>
      <c r="Q4" s="3">
        <v>917369.0</v>
      </c>
      <c r="R4" s="3">
        <v>208912.0</v>
      </c>
      <c r="S4" s="3" t="s">
        <v>434</v>
      </c>
      <c r="T4" s="3" t="s">
        <v>435</v>
      </c>
      <c r="U4" s="3">
        <v>549070.0</v>
      </c>
      <c r="V4" s="3">
        <v>629107.0</v>
      </c>
      <c r="W4" s="3" t="s">
        <v>436</v>
      </c>
      <c r="X4" s="3" t="s">
        <v>437</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438</v>
      </c>
      <c r="J5" s="3" t="s">
        <v>439</v>
      </c>
      <c r="K5" s="3">
        <v>53.0</v>
      </c>
      <c r="L5" s="3" t="s">
        <v>404</v>
      </c>
      <c r="M5" s="53" t="s">
        <v>421</v>
      </c>
      <c r="Q5" s="3">
        <v>919537.0</v>
      </c>
      <c r="R5" s="3">
        <v>208385.0</v>
      </c>
      <c r="S5" s="3" t="s">
        <v>440</v>
      </c>
      <c r="T5" s="3" t="s">
        <v>441</v>
      </c>
      <c r="U5" s="3">
        <v>556180.0</v>
      </c>
      <c r="V5" s="3">
        <v>627377.0</v>
      </c>
      <c r="W5" s="3" t="s">
        <v>442</v>
      </c>
      <c r="X5" s="3" t="s">
        <v>443</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444</v>
      </c>
      <c r="J6" s="3" t="s">
        <v>445</v>
      </c>
      <c r="K6" s="3">
        <v>53.0</v>
      </c>
      <c r="L6" s="3" t="s">
        <v>404</v>
      </c>
      <c r="M6" s="53" t="s">
        <v>421</v>
      </c>
      <c r="Q6" s="3">
        <v>917108.0</v>
      </c>
      <c r="R6" s="3">
        <v>209456.0</v>
      </c>
      <c r="S6" s="3" t="s">
        <v>446</v>
      </c>
      <c r="T6" s="3" t="s">
        <v>447</v>
      </c>
      <c r="U6" s="3">
        <v>548214.0</v>
      </c>
      <c r="V6" s="3">
        <v>630892.0</v>
      </c>
      <c r="W6" s="3" t="s">
        <v>448</v>
      </c>
      <c r="X6" s="3" t="s">
        <v>449</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450</v>
      </c>
      <c r="J7" s="3" t="s">
        <v>451</v>
      </c>
      <c r="K7" s="3">
        <v>53.0</v>
      </c>
      <c r="L7" s="3" t="s">
        <v>404</v>
      </c>
      <c r="M7" s="53" t="s">
        <v>421</v>
      </c>
      <c r="Q7" s="3">
        <v>920390.0</v>
      </c>
      <c r="R7" s="3">
        <v>208255.0</v>
      </c>
      <c r="S7" s="3" t="s">
        <v>452</v>
      </c>
      <c r="T7" s="3" t="s">
        <v>453</v>
      </c>
      <c r="U7" s="3">
        <v>558979.0</v>
      </c>
      <c r="V7" s="3">
        <v>626951.0</v>
      </c>
      <c r="W7" s="3" t="s">
        <v>454</v>
      </c>
      <c r="X7" s="3" t="s">
        <v>455</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456</v>
      </c>
      <c r="J8" s="3" t="s">
        <v>457</v>
      </c>
      <c r="K8" s="3">
        <v>53.0</v>
      </c>
      <c r="L8" s="3" t="s">
        <v>404</v>
      </c>
      <c r="M8" s="53" t="s">
        <v>421</v>
      </c>
      <c r="Q8" s="3">
        <v>909604.0</v>
      </c>
      <c r="R8" s="3">
        <v>205727.0</v>
      </c>
      <c r="S8" s="3" t="s">
        <v>458</v>
      </c>
      <c r="T8" s="3" t="s">
        <v>459</v>
      </c>
      <c r="U8" s="3">
        <v>523592.0</v>
      </c>
      <c r="V8" s="3">
        <v>618657.0</v>
      </c>
      <c r="W8" s="3" t="s">
        <v>460</v>
      </c>
      <c r="X8" s="3" t="s">
        <v>461</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462</v>
      </c>
      <c r="J9" s="3" t="s">
        <v>463</v>
      </c>
      <c r="K9" s="3">
        <v>53.0</v>
      </c>
      <c r="L9" s="3" t="s">
        <v>404</v>
      </c>
      <c r="M9" s="53" t="s">
        <v>421</v>
      </c>
      <c r="Q9" s="3">
        <v>919071.0</v>
      </c>
      <c r="R9" s="3">
        <v>205339.0</v>
      </c>
      <c r="S9" s="3" t="s">
        <v>464</v>
      </c>
      <c r="T9" s="3" t="s">
        <v>465</v>
      </c>
      <c r="U9" s="3">
        <v>554653.0</v>
      </c>
      <c r="V9" s="3">
        <v>617385.0</v>
      </c>
      <c r="W9" s="3" t="s">
        <v>466</v>
      </c>
      <c r="X9" s="3" t="s">
        <v>467</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468</v>
      </c>
      <c r="J10" s="3" t="s">
        <v>469</v>
      </c>
      <c r="K10" s="3">
        <v>53.0</v>
      </c>
      <c r="L10" s="3" t="s">
        <v>404</v>
      </c>
      <c r="M10" s="53" t="s">
        <v>421</v>
      </c>
      <c r="Q10" s="3">
        <v>917614.0</v>
      </c>
      <c r="R10" s="3">
        <v>204607.0</v>
      </c>
      <c r="S10" s="3" t="s">
        <v>470</v>
      </c>
      <c r="T10" s="3" t="s">
        <v>471</v>
      </c>
      <c r="U10" s="3">
        <v>549873.0</v>
      </c>
      <c r="V10" s="3">
        <v>614983.0</v>
      </c>
      <c r="W10" s="3" t="s">
        <v>472</v>
      </c>
      <c r="X10" s="3" t="s">
        <v>473</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474</v>
      </c>
      <c r="J11" s="3" t="s">
        <v>475</v>
      </c>
      <c r="K11" s="3">
        <v>53.0</v>
      </c>
      <c r="L11" s="3" t="s">
        <v>404</v>
      </c>
      <c r="M11" s="53" t="s">
        <v>421</v>
      </c>
      <c r="Q11" s="3">
        <v>919808.0</v>
      </c>
      <c r="R11" s="3">
        <v>205871.0</v>
      </c>
      <c r="S11" s="3" t="s">
        <v>476</v>
      </c>
      <c r="T11" s="3" t="s">
        <v>477</v>
      </c>
      <c r="U11" s="3">
        <v>557071.0</v>
      </c>
      <c r="V11" s="3">
        <v>619131.0</v>
      </c>
      <c r="W11" s="3" t="s">
        <v>478</v>
      </c>
      <c r="X11" s="3" t="s">
        <v>479</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480</v>
      </c>
      <c r="J12" s="3" t="s">
        <v>481</v>
      </c>
      <c r="K12" s="3">
        <v>53.0</v>
      </c>
      <c r="L12" s="3" t="s">
        <v>404</v>
      </c>
      <c r="M12" s="53" t="s">
        <v>421</v>
      </c>
      <c r="Q12" s="3">
        <v>911088.0</v>
      </c>
      <c r="R12" s="3">
        <v>202934.0</v>
      </c>
      <c r="S12" s="3" t="s">
        <v>482</v>
      </c>
      <c r="T12" s="3" t="s">
        <v>483</v>
      </c>
      <c r="U12" s="3">
        <v>528463.0</v>
      </c>
      <c r="V12" s="3">
        <v>609494.0</v>
      </c>
      <c r="W12" s="3" t="s">
        <v>484</v>
      </c>
      <c r="X12" s="3" t="s">
        <v>485</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486</v>
      </c>
      <c r="J13" s="3" t="s">
        <v>487</v>
      </c>
      <c r="K13" s="3">
        <v>53.0</v>
      </c>
      <c r="L13" s="3" t="s">
        <v>404</v>
      </c>
      <c r="M13" s="53" t="s">
        <v>421</v>
      </c>
      <c r="Q13" s="3">
        <v>919518.0</v>
      </c>
      <c r="R13" s="3">
        <v>206261.0</v>
      </c>
      <c r="S13" s="3" t="s">
        <v>488</v>
      </c>
      <c r="T13" s="3" t="s">
        <v>489</v>
      </c>
      <c r="U13" s="3">
        <v>556120.0</v>
      </c>
      <c r="V13" s="3">
        <v>620409.0</v>
      </c>
      <c r="W13" s="3" t="s">
        <v>490</v>
      </c>
      <c r="X13" s="3" t="s">
        <v>491</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492</v>
      </c>
      <c r="V1" s="37"/>
      <c r="W1" s="37"/>
      <c r="X1" s="37"/>
      <c r="Y1" s="37"/>
      <c r="Z1" s="37"/>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0">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0">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0">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0">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0">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IFERROR(__xludf.DUMMYFUNCTION("""COMPUTED_VALUE"""),"42.50018602")</f>
        <v>42.50018602</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0">
        <f>IFERROR(__xludf.DUMMYFUNCTION("""COMPUTED_VALUE"""),45792.0)</f>
        <v>45792</v>
      </c>
      <c r="Q7" s="5" t="str">
        <f>IFERROR(__xludf.DUMMYFUNCTION("""COMPUTED_VALUE"""),"looked a couple of times, not found yet. Boxborough reports it is missing. I think it would be in the grassy area between lanes of the exits. Unlikely to survive the construction of Rte 2.")</f>
        <v>looked a couple of times, not found yet. Boxborough reports it is missing. I think it would be in the grassy area between lanes of the exits. Unlikely to survive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0">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0">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0">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0">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IFERROR(__xludf.DUMMYFUNCTION("""COMPUTED_VALUE"""),"Corner")</f>
        <v>Corner</v>
      </c>
      <c r="M12" s="5"/>
      <c r="N12" s="5" t="str">
        <f>IFERROR(__xludf.DUMMYFUNCTION("""COMPUTED_VALUE"""),"394 Pope Road")</f>
        <v>394 Pope Road</v>
      </c>
      <c r="O12" s="5" t="str">
        <f>IFERROR(__xludf.DUMMYFUNCTION("""COMPUTED_VALUE"""),"Painted")</f>
        <v>Painted</v>
      </c>
      <c r="P12" s="30">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0">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0">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0">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0">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0">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0">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0">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0">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0">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0">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0">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0"/>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0">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0">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0">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IFERROR(__xludf.DUMMYFUNCTION("""COMPUTED_VALUE"""),"42.50594444")</f>
        <v>42.50594444</v>
      </c>
      <c r="B28" s="5" t="str">
        <f>IFERROR(__xludf.DUMMYFUNCTION("""COMPUTED_VALUE"""),"-71.45436111")</f>
        <v>-71.45436111</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0">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IFERROR(__xludf.DUMMYFUNCTION("""COMPUTED_VALUE"""),"Mark R. phone")</f>
        <v>Mark R. phone</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0">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0">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0">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0">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0">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0">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IFERROR(__xludf.DUMMYFUNCTION("""COMPUTED_VALUE"""),"Street Crossing")</f>
        <v>Street Crossing</v>
      </c>
      <c r="M35" s="5" t="str">
        <f>IFERROR(__xludf.DUMMYFUNCTION("""COMPUTED_VALUE"""),"Fort Pond Road")</f>
        <v>Fort Pond Road</v>
      </c>
      <c r="N35" s="5"/>
      <c r="O35" s="5" t="str">
        <f>IFERROR(__xludf.DUMMYFUNCTION("""COMPUTED_VALUE"""),"Found")</f>
        <v>Found</v>
      </c>
      <c r="P35" s="30">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f>
        <v>W B likely stands for Witness Bound, which were placed when a monument can't be placed at the actual location. </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0">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0"/>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0"/>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0"/>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0">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0">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0"/>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0"/>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0"/>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0"/>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0">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0">
        <f>IFERROR(__xludf.DUMMYFUNCTION("""COMPUTED_VALUE"""),45580.0)</f>
        <v>45580</v>
      </c>
      <c r="Q47" s="5" t="str">
        <f>IFERROR(__xludf.DUMMYFUNCTION("""COMPUTED_VALUE"""),"Are these public ways? May not be required")</f>
        <v>Are these public ways? May not be required</v>
      </c>
      <c r="R47" s="5"/>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0">
        <f>IFERROR(__xludf.DUMMYFUNCTION("""COMPUTED_VALUE"""),45580.0)</f>
        <v>45580</v>
      </c>
      <c r="Q48" s="5" t="str">
        <f>IFERROR(__xludf.DUMMYFUNCTION("""COMPUTED_VALUE"""),"Are these public ways? May not be required")</f>
        <v>Are these public ways? May not be required</v>
      </c>
      <c r="R48" s="5"/>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0"/>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0">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493</v>
      </c>
      <c r="Q1" s="6" t="s">
        <v>494</v>
      </c>
      <c r="R1" s="6" t="s">
        <v>495</v>
      </c>
      <c r="S1" s="37"/>
      <c r="T1" s="37"/>
      <c r="U1" s="6"/>
      <c r="V1" s="37"/>
      <c r="W1" s="37"/>
      <c r="X1" s="37"/>
      <c r="Y1" s="37"/>
      <c r="Z1" s="37"/>
    </row>
    <row r="2" ht="49.5" customHeight="1">
      <c r="A2" s="58" t="str">
        <f>IFERROR(__xludf.DUMMYFUNCTION("""COMPUTED_VALUE"""),"X")</f>
        <v>X</v>
      </c>
      <c r="B2" s="58"/>
      <c r="C2" s="58"/>
      <c r="D2" s="58"/>
      <c r="E2" s="58"/>
      <c r="F2" s="58"/>
      <c r="G2" s="58"/>
      <c r="H2" s="58"/>
      <c r="I2" s="59" t="str">
        <f>IFERROR(__xludf.DUMMYFUNCTION("""COMPUTED_VALUE"""),"Central Street")</f>
        <v>Central Street</v>
      </c>
      <c r="J2" s="58" t="str">
        <f>IFERROR(__xludf.DUMMYFUNCTION("""COMPUTED_VALUE"""),"Street Crossing")</f>
        <v>Street Crossing</v>
      </c>
      <c r="K2" s="59"/>
      <c r="L2" s="58" t="str">
        <f>IFERROR(__xludf.DUMMYFUNCTION("""COMPUTED_VALUE"""),"Painted")</f>
        <v>Painted</v>
      </c>
      <c r="M2" s="59" t="str">
        <f>IFERROR(__xludf.DUMMYFUNCTION("""COMPUTED_VALUE"""),"GIS iPad")</f>
        <v>GIS iPad</v>
      </c>
      <c r="N2" s="58" t="str">
        <f>IFERROR(__xludf.DUMMYFUNCTION("""COMPUTED_VALUE"""),"42.495950")</f>
        <v>42.495950</v>
      </c>
      <c r="O2" s="58" t="str">
        <f>IFERROR(__xludf.DUMMYFUNCTION("""COMPUTED_VALUE"""),"-71.476441")</f>
        <v>-71.476441</v>
      </c>
    </row>
    <row r="3" ht="49.5" customHeight="1">
      <c r="A3" s="58" t="str">
        <f>IFERROR(__xludf.DUMMYFUNCTION("""COMPUTED_VALUE"""),"X")</f>
        <v>X</v>
      </c>
      <c r="B3" s="58"/>
      <c r="C3" s="58"/>
      <c r="D3" s="58"/>
      <c r="E3" s="58"/>
      <c r="F3" s="58"/>
      <c r="G3" s="58"/>
      <c r="H3" s="58"/>
      <c r="I3" s="59" t="str">
        <f>IFERROR(__xludf.DUMMYFUNCTION("""COMPUTED_VALUE"""),"Littlefield Road")</f>
        <v>Littlefield Road</v>
      </c>
      <c r="J3" s="58" t="str">
        <f>IFERROR(__xludf.DUMMYFUNCTION("""COMPUTED_VALUE"""),"Street Crossing")</f>
        <v>Street Crossing</v>
      </c>
      <c r="K3" s="59"/>
      <c r="L3" s="58" t="str">
        <f>IFERROR(__xludf.DUMMYFUNCTION("""COMPUTED_VALUE"""),"Painted")</f>
        <v>Painted</v>
      </c>
      <c r="M3" s="59" t="str">
        <f>IFERROR(__xludf.DUMMYFUNCTION("""COMPUTED_VALUE"""),"GIS iPad")</f>
        <v>GIS iPad</v>
      </c>
      <c r="N3" s="58" t="str">
        <f>IFERROR(__xludf.DUMMYFUNCTION("""COMPUTED_VALUE"""),"42.492639")</f>
        <v>42.492639</v>
      </c>
      <c r="O3" s="58" t="str">
        <f>IFERROR(__xludf.DUMMYFUNCTION("""COMPUTED_VALUE"""),"-71.478718")</f>
        <v>-71.478718</v>
      </c>
    </row>
    <row r="4" ht="49.5" customHeight="1">
      <c r="A4" s="58" t="str">
        <f>IFERROR(__xludf.DUMMYFUNCTION("""COMPUTED_VALUE"""),"X")</f>
        <v>X</v>
      </c>
      <c r="B4" s="58"/>
      <c r="C4" s="58"/>
      <c r="D4" s="58"/>
      <c r="E4" s="58"/>
      <c r="F4" s="58"/>
      <c r="G4" s="58"/>
      <c r="H4" s="58"/>
      <c r="I4" s="59" t="str">
        <f>IFERROR(__xludf.DUMMYFUNCTION("""COMPUTED_VALUE"""),"Summer Street")</f>
        <v>Summer Street</v>
      </c>
      <c r="J4" s="58" t="str">
        <f>IFERROR(__xludf.DUMMYFUNCTION("""COMPUTED_VALUE"""),"Street Crossing")</f>
        <v>Street Crossing</v>
      </c>
      <c r="K4" s="59"/>
      <c r="L4" s="58" t="str">
        <f>IFERROR(__xludf.DUMMYFUNCTION("""COMPUTED_VALUE"""),"Painted")</f>
        <v>Painted</v>
      </c>
      <c r="M4" s="59" t="str">
        <f>IFERROR(__xludf.DUMMYFUNCTION("""COMPUTED_VALUE"""),"GIS iPad")</f>
        <v>GIS iPad</v>
      </c>
      <c r="N4" s="58" t="str">
        <f>IFERROR(__xludf.DUMMYFUNCTION("""COMPUTED_VALUE"""),"42.473254")</f>
        <v>42.473254</v>
      </c>
      <c r="O4" s="58" t="str">
        <f>IFERROR(__xludf.DUMMYFUNCTION("""COMPUTED_VALUE"""),"-71.492056")</f>
        <v>-71.492056</v>
      </c>
    </row>
    <row r="5" ht="49.5" customHeight="1">
      <c r="A5" s="58" t="str">
        <f>IFERROR(__xludf.DUMMYFUNCTION("""COMPUTED_VALUE"""),"X")</f>
        <v>X</v>
      </c>
      <c r="B5" s="58"/>
      <c r="C5" s="58"/>
      <c r="D5" s="58"/>
      <c r="E5" s="58"/>
      <c r="F5" s="58"/>
      <c r="G5" s="58"/>
      <c r="H5" s="58" t="str">
        <f>IFERROR(__xludf.DUMMYFUNCTION("""COMPUTED_VALUE"""),"X")</f>
        <v>X</v>
      </c>
      <c r="I5" s="59" t="str">
        <f>IFERROR(__xludf.DUMMYFUNCTION("""COMPUTED_VALUE"""),"Ethan Allen Drive")</f>
        <v>Ethan Allen Drive</v>
      </c>
      <c r="J5" s="58" t="str">
        <f>IFERROR(__xludf.DUMMYFUNCTION("""COMPUTED_VALUE"""),"Corner")</f>
        <v>Corner</v>
      </c>
      <c r="K5" s="59" t="str">
        <f>IFERROR(__xludf.DUMMYFUNCTION("""COMPUTED_VALUE"""),"Watertower at end of Ethan Allen Dr.")</f>
        <v>Watertower at end of Ethan Allen Dr.</v>
      </c>
      <c r="L5" s="58" t="str">
        <f>IFERROR(__xludf.DUMMYFUNCTION("""COMPUTED_VALUE"""),"Painted")</f>
        <v>Painted</v>
      </c>
      <c r="M5" s="59" t="str">
        <f>IFERROR(__xludf.DUMMYFUNCTION("""COMPUTED_VALUE"""),"State")</f>
        <v>State</v>
      </c>
      <c r="N5" s="58" t="str">
        <f>IFERROR(__xludf.DUMMYFUNCTION("""COMPUTED_VALUE"""),"42.46378375")</f>
        <v>42.46378375</v>
      </c>
      <c r="O5" s="58" t="str">
        <f>IFERROR(__xludf.DUMMYFUNCTION("""COMPUTED_VALUE"""),"-71.49854771")</f>
        <v>-71.49854771</v>
      </c>
    </row>
    <row r="6" ht="49.5" customHeight="1">
      <c r="A6" s="58"/>
      <c r="B6" s="58"/>
      <c r="C6" s="58"/>
      <c r="D6" s="58" t="str">
        <f>IFERROR(__xludf.DUMMYFUNCTION("""COMPUTED_VALUE"""),"X")</f>
        <v>X</v>
      </c>
      <c r="E6" s="58"/>
      <c r="F6" s="58"/>
      <c r="G6" s="58"/>
      <c r="H6" s="58"/>
      <c r="I6" s="59" t="str">
        <f>IFERROR(__xludf.DUMMYFUNCTION("""COMPUTED_VALUE"""),"Triangle Farm Road")</f>
        <v>Triangle Farm Road</v>
      </c>
      <c r="J6" s="58" t="str">
        <f>IFERROR(__xludf.DUMMYFUNCTION("""COMPUTED_VALUE"""),"Corner")</f>
        <v>Corner</v>
      </c>
      <c r="K6" s="59" t="str">
        <f>IFERROR(__xludf.DUMMYFUNCTION("""COMPUTED_VALUE"""),"Camp Acton")</f>
        <v>Camp Acton</v>
      </c>
      <c r="L6" s="58" t="str">
        <f>IFERROR(__xludf.DUMMYFUNCTION("""COMPUTED_VALUE"""),"Painted")</f>
        <v>Painted</v>
      </c>
      <c r="M6" s="59" t="str">
        <f>IFERROR(__xludf.DUMMYFUNCTION("""COMPUTED_VALUE"""),"State")</f>
        <v>State</v>
      </c>
      <c r="N6" s="58" t="str">
        <f>IFERROR(__xludf.DUMMYFUNCTION("""COMPUTED_VALUE"""),"42.50682871")</f>
        <v>42.50682871</v>
      </c>
      <c r="O6" s="58" t="str">
        <f>IFERROR(__xludf.DUMMYFUNCTION("""COMPUTED_VALUE"""),"-71.39156419")</f>
        <v>-71.39156419</v>
      </c>
    </row>
    <row r="7" ht="49.5" customHeight="1">
      <c r="A7" s="58"/>
      <c r="B7" s="58"/>
      <c r="C7" s="58"/>
      <c r="D7" s="58" t="str">
        <f>IFERROR(__xludf.DUMMYFUNCTION("""COMPUTED_VALUE"""),"X")</f>
        <v>X</v>
      </c>
      <c r="E7" s="58"/>
      <c r="F7" s="58"/>
      <c r="G7" s="58"/>
      <c r="H7" s="58"/>
      <c r="I7" s="59" t="str">
        <f>IFERROR(__xludf.DUMMYFUNCTION("""COMPUTED_VALUE"""),"Carlisle Road")</f>
        <v>Carlisle Road</v>
      </c>
      <c r="J7" s="58" t="str">
        <f>IFERROR(__xludf.DUMMYFUNCTION("""COMPUTED_VALUE"""),"Corner")</f>
        <v>Corner</v>
      </c>
      <c r="K7" s="59"/>
      <c r="L7" s="58" t="str">
        <f>IFERROR(__xludf.DUMMYFUNCTION("""COMPUTED_VALUE"""),"Painted")</f>
        <v>Painted</v>
      </c>
      <c r="M7" s="59" t="str">
        <f>IFERROR(__xludf.DUMMYFUNCTION("""COMPUTED_VALUE"""),"State")</f>
        <v>State</v>
      </c>
      <c r="N7" s="58" t="str">
        <f>IFERROR(__xludf.DUMMYFUNCTION("""COMPUTED_VALUE"""),"42.52634481")</f>
        <v>42.52634481</v>
      </c>
      <c r="O7" s="58" t="str">
        <f>IFERROR(__xludf.DUMMYFUNCTION("""COMPUTED_VALUE"""),"-71.39794715")</f>
        <v>-71.39794715</v>
      </c>
    </row>
    <row r="8" ht="49.5" customHeight="1">
      <c r="A8" s="58"/>
      <c r="B8" s="58"/>
      <c r="C8" s="58"/>
      <c r="D8" s="58" t="str">
        <f>IFERROR(__xludf.DUMMYFUNCTION("""COMPUTED_VALUE"""),"X")</f>
        <v>X</v>
      </c>
      <c r="E8" s="58"/>
      <c r="F8" s="58"/>
      <c r="G8" s="58"/>
      <c r="H8" s="58"/>
      <c r="I8" s="59" t="str">
        <f>IFERROR(__xludf.DUMMYFUNCTION("""COMPUTED_VALUE"""),"Main Street (Rte 27)")</f>
        <v>Main Street (Rte 27)</v>
      </c>
      <c r="J8" s="58" t="str">
        <f>IFERROR(__xludf.DUMMYFUNCTION("""COMPUTED_VALUE"""),"Street Crossing")</f>
        <v>Street Crossing</v>
      </c>
      <c r="K8" s="59"/>
      <c r="L8" s="58" t="str">
        <f>IFERROR(__xludf.DUMMYFUNCTION("""COMPUTED_VALUE"""),"Painted")</f>
        <v>Painted</v>
      </c>
      <c r="M8" s="59" t="str">
        <f>IFERROR(__xludf.DUMMYFUNCTION("""COMPUTED_VALUE"""),"GIS iPad")</f>
        <v>GIS iPad</v>
      </c>
      <c r="N8" s="58" t="str">
        <f>IFERROR(__xludf.DUMMYFUNCTION("""COMPUTED_VALUE"""),"42.526336")</f>
        <v>42.526336</v>
      </c>
      <c r="O8" s="58" t="str">
        <f>IFERROR(__xludf.DUMMYFUNCTION("""COMPUTED_VALUE"""),"-71.397946")</f>
        <v>-71.397946</v>
      </c>
    </row>
    <row r="9" ht="49.5" customHeight="1">
      <c r="A9" s="58"/>
      <c r="B9" s="58"/>
      <c r="C9" s="58"/>
      <c r="D9" s="58" t="str">
        <f>IFERROR(__xludf.DUMMYFUNCTION("""COMPUTED_VALUE"""),"X")</f>
        <v>X</v>
      </c>
      <c r="E9" s="58" t="str">
        <f>IFERROR(__xludf.DUMMYFUNCTION("""COMPUTED_VALUE"""),"X")</f>
        <v>X</v>
      </c>
      <c r="F9" s="58"/>
      <c r="G9" s="58"/>
      <c r="H9" s="58"/>
      <c r="I9" s="59" t="str">
        <f>IFERROR(__xludf.DUMMYFUNCTION("""COMPUTED_VALUE"""),"Pope Road")</f>
        <v>Pope Road</v>
      </c>
      <c r="J9" s="58" t="str">
        <f>IFERROR(__xludf.DUMMYFUNCTION("""COMPUTED_VALUE"""),"Corner")</f>
        <v>Corner</v>
      </c>
      <c r="K9" s="59" t="str">
        <f>IFERROR(__xludf.DUMMYFUNCTION("""COMPUTED_VALUE"""),"394 Pope Road")</f>
        <v>394 Pope Road</v>
      </c>
      <c r="L9" s="58" t="str">
        <f>IFERROR(__xludf.DUMMYFUNCTION("""COMPUTED_VALUE"""),"Painted")</f>
        <v>Painted</v>
      </c>
      <c r="M9" s="59" t="str">
        <f>IFERROR(__xludf.DUMMYFUNCTION("""COMPUTED_VALUE"""),"map estimate")</f>
        <v>map estimate</v>
      </c>
      <c r="N9" s="58" t="str">
        <f>IFERROR(__xludf.DUMMYFUNCTION("""COMPUTED_VALUE"""),"42.504159")</f>
        <v>42.504159</v>
      </c>
      <c r="O9" s="58" t="str">
        <f>IFERROR(__xludf.DUMMYFUNCTION("""COMPUTED_VALUE"""),"-71.385158")</f>
        <v>-71.385158</v>
      </c>
    </row>
    <row r="10" ht="49.5" customHeight="1">
      <c r="A10" s="58"/>
      <c r="B10" s="58"/>
      <c r="C10" s="58" t="str">
        <f>IFERROR(__xludf.DUMMYFUNCTION("""COMPUTED_VALUE"""),"X")</f>
        <v>X</v>
      </c>
      <c r="D10" s="58" t="str">
        <f>IFERROR(__xludf.DUMMYFUNCTION("""COMPUTED_VALUE"""),"X")</f>
        <v>X</v>
      </c>
      <c r="E10" s="58"/>
      <c r="F10" s="58"/>
      <c r="G10" s="58"/>
      <c r="H10" s="58"/>
      <c r="I10" s="59" t="str">
        <f>IFERROR(__xludf.DUMMYFUNCTION("""COMPUTED_VALUE"""),"Main Street (Rte 27)")</f>
        <v>Main Street (Rte 27)</v>
      </c>
      <c r="J10" s="58" t="str">
        <f>IFERROR(__xludf.DUMMYFUNCTION("""COMPUTED_VALUE"""),"Corner")</f>
        <v>Corner</v>
      </c>
      <c r="K10" s="59" t="str">
        <f>IFERROR(__xludf.DUMMYFUNCTION("""COMPUTED_VALUE"""),"Butter Brook Golf Club")</f>
        <v>Butter Brook Golf Club</v>
      </c>
      <c r="L10" s="58" t="str">
        <f>IFERROR(__xludf.DUMMYFUNCTION("""COMPUTED_VALUE"""),"Painted")</f>
        <v>Painted</v>
      </c>
      <c r="M10" s="59" t="str">
        <f>IFERROR(__xludf.DUMMYFUNCTION("""COMPUTED_VALUE"""),"State")</f>
        <v>State</v>
      </c>
      <c r="N10" s="58" t="str">
        <f>IFERROR(__xludf.DUMMYFUNCTION("""COMPUTED_VALUE"""),"42.53402509")</f>
        <v>42.53402509</v>
      </c>
      <c r="O10" s="58" t="str">
        <f>IFERROR(__xludf.DUMMYFUNCTION("""COMPUTED_VALUE"""),"-71.39951534")</f>
        <v>-71.39951534</v>
      </c>
    </row>
    <row r="11" ht="49.5" customHeight="1">
      <c r="A11" s="58"/>
      <c r="B11" s="58"/>
      <c r="C11" s="58"/>
      <c r="D11" s="58"/>
      <c r="E11" s="58" t="str">
        <f>IFERROR(__xludf.DUMMYFUNCTION("""COMPUTED_VALUE"""),"X")</f>
        <v>X</v>
      </c>
      <c r="F11" s="58"/>
      <c r="G11" s="58"/>
      <c r="H11" s="58"/>
      <c r="I11" s="59" t="str">
        <f>IFERROR(__xludf.DUMMYFUNCTION("""COMPUTED_VALUE"""),"Great Road")</f>
        <v>Great Road</v>
      </c>
      <c r="J11" s="58" t="str">
        <f>IFERROR(__xludf.DUMMYFUNCTION("""COMPUTED_VALUE"""),"Street Crossing")</f>
        <v>Street Crossing</v>
      </c>
      <c r="K11" s="59" t="str">
        <f>IFERROR(__xludf.DUMMYFUNCTION("""COMPUTED_VALUE"""),"Life Care of Acton")</f>
        <v>Life Care of Acton</v>
      </c>
      <c r="L11" s="58" t="str">
        <f>IFERROR(__xludf.DUMMYFUNCTION("""COMPUTED_VALUE"""),"Painted")</f>
        <v>Painted</v>
      </c>
      <c r="M11" s="59" t="str">
        <f>IFERROR(__xludf.DUMMYFUNCTION("""COMPUTED_VALUE"""),"GIS iPad")</f>
        <v>GIS iPad</v>
      </c>
      <c r="N11" s="58" t="str">
        <f>IFERROR(__xludf.DUMMYFUNCTION("""COMPUTED_VALUE"""),"42.473365")</f>
        <v>42.473365</v>
      </c>
      <c r="O11" s="58" t="str">
        <f>IFERROR(__xludf.DUMMYFUNCTION("""COMPUTED_VALUE"""),"-71.405893")</f>
        <v>-71.405893</v>
      </c>
    </row>
    <row r="12" ht="49.5" customHeight="1">
      <c r="A12" s="58"/>
      <c r="B12" s="58"/>
      <c r="C12" s="58"/>
      <c r="D12" s="58"/>
      <c r="E12" s="58" t="str">
        <f>IFERROR(__xludf.DUMMYFUNCTION("""COMPUTED_VALUE"""),"X")</f>
        <v>X</v>
      </c>
      <c r="F12" s="58"/>
      <c r="G12" s="58"/>
      <c r="H12" s="58"/>
      <c r="I12" s="59" t="str">
        <f>IFERROR(__xludf.DUMMYFUNCTION("""COMPUTED_VALUE"""),"Keefe Road")</f>
        <v>Keefe Road</v>
      </c>
      <c r="J12" s="58" t="str">
        <f>IFERROR(__xludf.DUMMYFUNCTION("""COMPUTED_VALUE"""),"Street Crossing")</f>
        <v>Street Crossing</v>
      </c>
      <c r="K12" s="59" t="str">
        <f>IFERROR(__xludf.DUMMYFUNCTION("""COMPUTED_VALUE"""),"International Collision Center")</f>
        <v>International Collision Center</v>
      </c>
      <c r="L12" s="58" t="str">
        <f>IFERROR(__xludf.DUMMYFUNCTION("""COMPUTED_VALUE"""),"Found")</f>
        <v>Found</v>
      </c>
      <c r="M12" s="59" t="str">
        <f>IFERROR(__xludf.DUMMYFUNCTION("""COMPUTED_VALUE"""),"GIS iPad")</f>
        <v>GIS iPad</v>
      </c>
      <c r="N12" s="58" t="str">
        <f>IFERROR(__xludf.DUMMYFUNCTION("""COMPUTED_VALUE"""),"42.472315")</f>
        <v>42.472315</v>
      </c>
      <c r="O12" s="58" t="str">
        <f>IFERROR(__xludf.DUMMYFUNCTION("""COMPUTED_VALUE"""),"-71.406597")</f>
        <v>-71.406597</v>
      </c>
    </row>
    <row r="13" ht="49.5" customHeight="1">
      <c r="A13" s="58"/>
      <c r="B13" s="58"/>
      <c r="C13" s="58"/>
      <c r="D13" s="58"/>
      <c r="E13" s="58" t="str">
        <f>IFERROR(__xludf.DUMMYFUNCTION("""COMPUTED_VALUE"""),"X")</f>
        <v>X</v>
      </c>
      <c r="F13" s="58"/>
      <c r="G13" s="58"/>
      <c r="H13" s="58"/>
      <c r="I13" s="59" t="str">
        <f>IFERROR(__xludf.DUMMYFUNCTION("""COMPUTED_VALUE"""),"Laws Brook Road")</f>
        <v>Laws Brook Road</v>
      </c>
      <c r="J13" s="58" t="str">
        <f>IFERROR(__xludf.DUMMYFUNCTION("""COMPUTED_VALUE"""),"Street Crossing")</f>
        <v>Street Crossing</v>
      </c>
      <c r="K13" s="59"/>
      <c r="L13" s="58" t="str">
        <f>IFERROR(__xludf.DUMMYFUNCTION("""COMPUTED_VALUE"""),"Painted")</f>
        <v>Painted</v>
      </c>
      <c r="M13" s="59" t="str">
        <f>IFERROR(__xludf.DUMMYFUNCTION("""COMPUTED_VALUE"""),"GIS iPad")</f>
        <v>GIS iPad</v>
      </c>
      <c r="N13" s="58" t="str">
        <f>IFERROR(__xludf.DUMMYFUNCTION("""COMPUTED_VALUE"""),"42.459859")</f>
        <v>42.459859</v>
      </c>
      <c r="O13" s="58" t="str">
        <f>IFERROR(__xludf.DUMMYFUNCTION("""COMPUTED_VALUE"""),"-71.414985")</f>
        <v>-71.414985</v>
      </c>
    </row>
    <row r="14" ht="49.5" customHeight="1">
      <c r="A14" s="58"/>
      <c r="B14" s="58"/>
      <c r="C14" s="58"/>
      <c r="D14" s="58"/>
      <c r="E14" s="58" t="str">
        <f>IFERROR(__xludf.DUMMYFUNCTION("""COMPUTED_VALUE"""),"X")</f>
        <v>X</v>
      </c>
      <c r="F14" s="58"/>
      <c r="G14" s="58"/>
      <c r="H14" s="58"/>
      <c r="I14" s="59" t="str">
        <f>IFERROR(__xludf.DUMMYFUNCTION("""COMPUTED_VALUE"""),"Old Stow Road")</f>
        <v>Old Stow Road</v>
      </c>
      <c r="J14" s="58" t="str">
        <f>IFERROR(__xludf.DUMMYFUNCTION("""COMPUTED_VALUE"""),"Street Crossing")</f>
        <v>Street Crossing</v>
      </c>
      <c r="K14" s="59" t="str">
        <f>IFERROR(__xludf.DUMMYFUNCTION("""COMPUTED_VALUE"""),"Old Stow Rd CR, railroad")</f>
        <v>Old Stow Rd CR, railroad</v>
      </c>
      <c r="L14" s="58" t="str">
        <f>IFERROR(__xludf.DUMMYFUNCTION("""COMPUTED_VALUE"""),"Painted")</f>
        <v>Painted</v>
      </c>
      <c r="M14" s="59" t="str">
        <f>IFERROR(__xludf.DUMMYFUNCTION("""COMPUTED_VALUE"""),"GIS iPad")</f>
        <v>GIS iPad</v>
      </c>
      <c r="N14" s="58" t="str">
        <f>IFERROR(__xludf.DUMMYFUNCTION("""COMPUTED_VALUE"""),"42.456849")</f>
        <v>42.456849</v>
      </c>
      <c r="O14" s="58" t="str">
        <f>IFERROR(__xludf.DUMMYFUNCTION("""COMPUTED_VALUE"""),"-71.417005")</f>
        <v>-71.417005</v>
      </c>
    </row>
    <row r="15" ht="49.5" customHeight="1">
      <c r="A15" s="58"/>
      <c r="B15" s="58"/>
      <c r="C15" s="58"/>
      <c r="D15" s="58"/>
      <c r="E15" s="58" t="str">
        <f>IFERROR(__xludf.DUMMYFUNCTION("""COMPUTED_VALUE"""),"X")</f>
        <v>X</v>
      </c>
      <c r="F15" s="58"/>
      <c r="G15" s="58"/>
      <c r="H15" s="58"/>
      <c r="I15" s="59" t="str">
        <f>IFERROR(__xludf.DUMMYFUNCTION("""COMPUTED_VALUE"""),"Pope Road")</f>
        <v>Pope Road</v>
      </c>
      <c r="J15" s="58" t="str">
        <f>IFERROR(__xludf.DUMMYFUNCTION("""COMPUTED_VALUE"""),"Street Crossing")</f>
        <v>Street Crossing</v>
      </c>
      <c r="K15" s="59" t="str">
        <f>IFERROR(__xludf.DUMMYFUNCTION("""COMPUTED_VALUE"""),"380 Pope Road")</f>
        <v>380 Pope Road</v>
      </c>
      <c r="L15" s="58" t="str">
        <f>IFERROR(__xludf.DUMMYFUNCTION("""COMPUTED_VALUE"""),"Painted")</f>
        <v>Painted</v>
      </c>
      <c r="M15" s="59" t="str">
        <f>IFERROR(__xludf.DUMMYFUNCTION("""COMPUTED_VALUE"""),"GIS iPad")</f>
        <v>GIS iPad</v>
      </c>
      <c r="N15" s="58" t="str">
        <f>IFERROR(__xludf.DUMMYFUNCTION("""COMPUTED_VALUE"""),"42.503316")</f>
        <v>42.503316</v>
      </c>
      <c r="O15" s="58" t="str">
        <f>IFERROR(__xludf.DUMMYFUNCTION("""COMPUTED_VALUE"""),"-71.385706")</f>
        <v>-71.385706</v>
      </c>
    </row>
    <row r="16" ht="49.5" customHeight="1">
      <c r="A16" s="58"/>
      <c r="B16" s="58"/>
      <c r="C16" s="58"/>
      <c r="D16" s="58"/>
      <c r="E16" s="58" t="str">
        <f>IFERROR(__xludf.DUMMYFUNCTION("""COMPUTED_VALUE"""),"X")</f>
        <v>X</v>
      </c>
      <c r="F16" s="58"/>
      <c r="G16" s="58"/>
      <c r="H16" s="58"/>
      <c r="I16" s="59" t="str">
        <f>IFERROR(__xludf.DUMMYFUNCTION("""COMPUTED_VALUE"""),"Spencer Brook Road")</f>
        <v>Spencer Brook Road</v>
      </c>
      <c r="J16" s="58" t="str">
        <f>IFERROR(__xludf.DUMMYFUNCTION("""COMPUTED_VALUE"""),"Street Crossing")</f>
        <v>Street Crossing</v>
      </c>
      <c r="K16" s="59"/>
      <c r="L16" s="58" t="str">
        <f>IFERROR(__xludf.DUMMYFUNCTION("""COMPUTED_VALUE"""),"Painted")</f>
        <v>Painted</v>
      </c>
      <c r="M16" s="59" t="str">
        <f>IFERROR(__xludf.DUMMYFUNCTION("""COMPUTED_VALUE"""),"GIS iPad")</f>
        <v>GIS iPad</v>
      </c>
      <c r="N16" s="58" t="str">
        <f>IFERROR(__xludf.DUMMYFUNCTION("""COMPUTED_VALUE"""),"42.502313")</f>
        <v>42.502313</v>
      </c>
      <c r="O16" s="58" t="str">
        <f>IFERROR(__xludf.DUMMYFUNCTION("""COMPUTED_VALUE"""),"-71.386401")</f>
        <v>-71.386401</v>
      </c>
    </row>
    <row r="17" ht="49.5" customHeight="1">
      <c r="A17" s="58"/>
      <c r="B17" s="58"/>
      <c r="C17" s="58"/>
      <c r="D17" s="58"/>
      <c r="E17" s="58" t="str">
        <f>IFERROR(__xludf.DUMMYFUNCTION("""COMPUTED_VALUE"""),"X")</f>
        <v>X</v>
      </c>
      <c r="F17" s="58"/>
      <c r="G17" s="58"/>
      <c r="H17" s="58"/>
      <c r="I17" s="59" t="str">
        <f>IFERROR(__xludf.DUMMYFUNCTION("""COMPUTED_VALUE"""),"Strawberry Hill Road")</f>
        <v>Strawberry Hill Road</v>
      </c>
      <c r="J17" s="58" t="str">
        <f>IFERROR(__xludf.DUMMYFUNCTION("""COMPUTED_VALUE"""),"Street Crossing")</f>
        <v>Street Crossing</v>
      </c>
      <c r="K17" s="59"/>
      <c r="L17" s="58" t="str">
        <f>IFERROR(__xludf.DUMMYFUNCTION("""COMPUTED_VALUE"""),"Painted")</f>
        <v>Painted</v>
      </c>
      <c r="M17" s="59" t="str">
        <f>IFERROR(__xludf.DUMMYFUNCTION("""COMPUTED_VALUE"""),"GIS iPad")</f>
        <v>GIS iPad</v>
      </c>
      <c r="N17" s="58" t="str">
        <f>IFERROR(__xludf.DUMMYFUNCTION("""COMPUTED_VALUE"""),"42.491233")</f>
        <v>42.491233</v>
      </c>
      <c r="O17" s="58" t="str">
        <f>IFERROR(__xludf.DUMMYFUNCTION("""COMPUTED_VALUE"""),"-71.393807")</f>
        <v>-71.393807</v>
      </c>
    </row>
    <row r="18" ht="49.5" customHeight="1">
      <c r="A18" s="58"/>
      <c r="B18" s="58"/>
      <c r="C18" s="58"/>
      <c r="D18" s="58"/>
      <c r="E18" s="58" t="str">
        <f>IFERROR(__xludf.DUMMYFUNCTION("""COMPUTED_VALUE"""),"X")</f>
        <v>X</v>
      </c>
      <c r="F18" s="58" t="str">
        <f>IFERROR(__xludf.DUMMYFUNCTION("""COMPUTED_VALUE"""),"X")</f>
        <v>X</v>
      </c>
      <c r="G18" s="58" t="str">
        <f>IFERROR(__xludf.DUMMYFUNCTION("""COMPUTED_VALUE"""),"X")</f>
        <v>X</v>
      </c>
      <c r="H18" s="58"/>
      <c r="I18" s="59" t="str">
        <f>IFERROR(__xludf.DUMMYFUNCTION("""COMPUTED_VALUE"""),"Old Powder Mill Road ")</f>
        <v>Old Powder Mill Road </v>
      </c>
      <c r="J18" s="58" t="str">
        <f>IFERROR(__xludf.DUMMYFUNCTION("""COMPUTED_VALUE"""),"Corner")</f>
        <v>Corner</v>
      </c>
      <c r="K18" s="59" t="str">
        <f>IFERROR(__xludf.DUMMYFUNCTION("""COMPUTED_VALUE"""),"Acton Senior Center, Maynard/Acton substation")</f>
        <v>Acton Senior Center, Maynard/Acton substation</v>
      </c>
      <c r="L18" s="58" t="str">
        <f>IFERROR(__xludf.DUMMYFUNCTION("""COMPUTED_VALUE"""),"Painted")</f>
        <v>Painted</v>
      </c>
      <c r="M18" s="59" t="str">
        <f>IFERROR(__xludf.DUMMYFUNCTION("""COMPUTED_VALUE"""),"State")</f>
        <v>State</v>
      </c>
      <c r="N18" s="58" t="str">
        <f>IFERROR(__xludf.DUMMYFUNCTION("""COMPUTED_VALUE"""),"42.43694799")</f>
        <v>42.43694799</v>
      </c>
      <c r="O18" s="58" t="str">
        <f>IFERROR(__xludf.DUMMYFUNCTION("""COMPUTED_VALUE"""),"-71.43039478")</f>
        <v>-71.43039478</v>
      </c>
    </row>
    <row r="19" ht="49.5" customHeight="1">
      <c r="A19" s="58"/>
      <c r="B19" s="58" t="str">
        <f>IFERROR(__xludf.DUMMYFUNCTION("""COMPUTED_VALUE"""),"X")</f>
        <v>X</v>
      </c>
      <c r="C19" s="58"/>
      <c r="D19" s="58"/>
      <c r="E19" s="58"/>
      <c r="F19" s="58"/>
      <c r="G19" s="58"/>
      <c r="H19" s="58"/>
      <c r="I19" s="59" t="str">
        <f>IFERROR(__xludf.DUMMYFUNCTION("""COMPUTED_VALUE"""),"Nagog Hill Road")</f>
        <v>Nagog Hill Road</v>
      </c>
      <c r="J19" s="58" t="str">
        <f>IFERROR(__xludf.DUMMYFUNCTION("""COMPUTED_VALUE"""),"Corner")</f>
        <v>Corner</v>
      </c>
      <c r="K19" s="59" t="str">
        <f>IFERROR(__xludf.DUMMYFUNCTION("""COMPUTED_VALUE"""),"Nagog Pond South Shore")</f>
        <v>Nagog Pond South Shore</v>
      </c>
      <c r="L19" s="58" t="str">
        <f>IFERROR(__xludf.DUMMYFUNCTION("""COMPUTED_VALUE"""),"Painted")</f>
        <v>Painted</v>
      </c>
      <c r="M19" s="59" t="str">
        <f>IFERROR(__xludf.DUMMYFUNCTION("""COMPUTED_VALUE"""),"State")</f>
        <v>State</v>
      </c>
      <c r="N19" s="58" t="str">
        <f>IFERROR(__xludf.DUMMYFUNCTION("""COMPUTED_VALUE"""),"42.50906856")</f>
        <v>42.50906856</v>
      </c>
      <c r="O19" s="58" t="str">
        <f>IFERROR(__xludf.DUMMYFUNCTION("""COMPUTED_VALUE"""),"-71.4439403")</f>
        <v>-71.4439403</v>
      </c>
    </row>
    <row r="20" ht="49.5" customHeight="1">
      <c r="A20" s="58"/>
      <c r="B20" s="58" t="str">
        <f>IFERROR(__xludf.DUMMYFUNCTION("""COMPUTED_VALUE"""),"X")</f>
        <v>X</v>
      </c>
      <c r="C20" s="58"/>
      <c r="D20" s="58"/>
      <c r="E20" s="58"/>
      <c r="F20" s="58"/>
      <c r="G20" s="58"/>
      <c r="H20" s="58"/>
      <c r="I20" s="59" t="str">
        <f>IFERROR(__xludf.DUMMYFUNCTION("""COMPUTED_VALUE"""),"Fort Pond Road")</f>
        <v>Fort Pond Road</v>
      </c>
      <c r="J20" s="58" t="str">
        <f>IFERROR(__xludf.DUMMYFUNCTION("""COMPUTED_VALUE"""),"Street Crossing")</f>
        <v>Street Crossing</v>
      </c>
      <c r="K20" s="59"/>
      <c r="L20" s="58" t="str">
        <f>IFERROR(__xludf.DUMMYFUNCTION("""COMPUTED_VALUE"""),"Painted")</f>
        <v>Painted</v>
      </c>
      <c r="M20" s="59" t="str">
        <f>IFERROR(__xludf.DUMMYFUNCTION("""COMPUTED_VALUE"""),"Mark R. phone")</f>
        <v>Mark R. phone</v>
      </c>
      <c r="N20" s="58" t="str">
        <f>IFERROR(__xludf.DUMMYFUNCTION("""COMPUTED_VALUE"""),"42.50594444")</f>
        <v>42.50594444</v>
      </c>
      <c r="O20" s="58" t="str">
        <f>IFERROR(__xludf.DUMMYFUNCTION("""COMPUTED_VALUE"""),"-71.45436111")</f>
        <v>-71.45436111</v>
      </c>
    </row>
    <row r="21" ht="49.5" customHeight="1">
      <c r="A21" s="58"/>
      <c r="B21" s="58" t="str">
        <f>IFERROR(__xludf.DUMMYFUNCTION("""COMPUTED_VALUE"""),"X")</f>
        <v>X</v>
      </c>
      <c r="C21" s="58"/>
      <c r="D21" s="58"/>
      <c r="E21" s="58"/>
      <c r="F21" s="58"/>
      <c r="G21" s="58"/>
      <c r="H21" s="58"/>
      <c r="I21" s="59" t="str">
        <f>IFERROR(__xludf.DUMMYFUNCTION("""COMPUTED_VALUE"""),"Nagog Hill Road")</f>
        <v>Nagog Hill Road</v>
      </c>
      <c r="J21" s="58" t="str">
        <f>IFERROR(__xludf.DUMMYFUNCTION("""COMPUTED_VALUE"""),"Street Crossing")</f>
        <v>Street Crossing</v>
      </c>
      <c r="K21" s="59"/>
      <c r="L21" s="58" t="str">
        <f>IFERROR(__xludf.DUMMYFUNCTION("""COMPUTED_VALUE"""),"Painted")</f>
        <v>Painted</v>
      </c>
      <c r="M21" s="59" t="str">
        <f>IFERROR(__xludf.DUMMYFUNCTION("""COMPUTED_VALUE"""),"GIS iPad")</f>
        <v>GIS iPad</v>
      </c>
      <c r="N21" s="58" t="str">
        <f>IFERROR(__xludf.DUMMYFUNCTION("""COMPUTED_VALUE"""),"42.507427")</f>
        <v>42.507427</v>
      </c>
      <c r="O21" s="58" t="str">
        <f>IFERROR(__xludf.DUMMYFUNCTION("""COMPUTED_VALUE"""),"-71.449538")</f>
        <v>-71.449538</v>
      </c>
    </row>
    <row r="22" ht="49.5" customHeight="1">
      <c r="A22" s="58"/>
      <c r="B22" s="58" t="str">
        <f>IFERROR(__xludf.DUMMYFUNCTION("""COMPUTED_VALUE"""),"X")</f>
        <v>X</v>
      </c>
      <c r="C22" s="58"/>
      <c r="D22" s="58"/>
      <c r="E22" s="58"/>
      <c r="F22" s="58"/>
      <c r="G22" s="58"/>
      <c r="H22" s="58"/>
      <c r="I22" s="59" t="str">
        <f>IFERROR(__xludf.DUMMYFUNCTION("""COMPUTED_VALUE"""),"Newtown Road")</f>
        <v>Newtown Road</v>
      </c>
      <c r="J22" s="58" t="str">
        <f>IFERROR(__xludf.DUMMYFUNCTION("""COMPUTED_VALUE"""),"Street Crossing")</f>
        <v>Street Crossing</v>
      </c>
      <c r="K22" s="59" t="str">
        <f>IFERROR(__xludf.DUMMYFUNCTION("""COMPUTED_VALUE"""),"between Lillian and Bulette Rd")</f>
        <v>between Lillian and Bulette Rd</v>
      </c>
      <c r="L22" s="58" t="str">
        <f>IFERROR(__xludf.DUMMYFUNCTION("""COMPUTED_VALUE"""),"Painted")</f>
        <v>Painted</v>
      </c>
      <c r="M22" s="59" t="str">
        <f>IFERROR(__xludf.DUMMYFUNCTION("""COMPUTED_VALUE"""),"GIS iPad")</f>
        <v>GIS iPad</v>
      </c>
      <c r="N22" s="58" t="str">
        <f>IFERROR(__xludf.DUMMYFUNCTION("""COMPUTED_VALUE"""),"42.501417")</f>
        <v>42.501417</v>
      </c>
      <c r="O22" s="58" t="str">
        <f>IFERROR(__xludf.DUMMYFUNCTION("""COMPUTED_VALUE"""),"-71.469495")</f>
        <v>-71.469495</v>
      </c>
    </row>
    <row r="23" ht="49.5" customHeight="1">
      <c r="A23" s="58"/>
      <c r="B23" s="58" t="str">
        <f>IFERROR(__xludf.DUMMYFUNCTION("""COMPUTED_VALUE"""),"X")</f>
        <v>X</v>
      </c>
      <c r="C23" s="58"/>
      <c r="D23" s="58"/>
      <c r="E23" s="58"/>
      <c r="F23" s="58"/>
      <c r="G23" s="58"/>
      <c r="H23" s="58"/>
      <c r="I23" s="59" t="str">
        <f>IFERROR(__xludf.DUMMYFUNCTION("""COMPUTED_VALUE"""),"W B Marker on Fort Pond Road")</f>
        <v>W B Marker on Fort Pond Road</v>
      </c>
      <c r="J23" s="58" t="str">
        <f>IFERROR(__xludf.DUMMYFUNCTION("""COMPUTED_VALUE"""),"Street Crossing")</f>
        <v>Street Crossing</v>
      </c>
      <c r="K23" s="59"/>
      <c r="L23" s="58" t="str">
        <f>IFERROR(__xludf.DUMMYFUNCTION("""COMPUTED_VALUE"""),"Found")</f>
        <v>Found</v>
      </c>
      <c r="M23" s="59" t="str">
        <f>IFERROR(__xludf.DUMMYFUNCTION("""COMPUTED_VALUE"""),"GIS iPad")</f>
        <v>GIS iPad</v>
      </c>
      <c r="N23" s="58" t="str">
        <f>IFERROR(__xludf.DUMMYFUNCTION("""COMPUTED_VALUE"""),"42.506201")</f>
        <v>42.506201</v>
      </c>
      <c r="O23" s="58" t="str">
        <f>IFERROR(__xludf.DUMMYFUNCTION("""COMPUTED_VALUE"""),"-71.454125")</f>
        <v>-71.454125</v>
      </c>
    </row>
    <row r="24" ht="49.5" customHeight="1">
      <c r="A24" s="58"/>
      <c r="B24" s="58" t="str">
        <f>IFERROR(__xludf.DUMMYFUNCTION("""COMPUTED_VALUE"""),"X")</f>
        <v>X</v>
      </c>
      <c r="C24" s="58" t="str">
        <f>IFERROR(__xludf.DUMMYFUNCTION("""COMPUTED_VALUE"""),"X")</f>
        <v>X</v>
      </c>
      <c r="D24" s="58"/>
      <c r="E24" s="58"/>
      <c r="F24" s="58"/>
      <c r="G24" s="58"/>
      <c r="H24" s="58"/>
      <c r="I24" s="59" t="str">
        <f>IFERROR(__xludf.DUMMYFUNCTION("""COMPUTED_VALUE"""),"Westford Lane")</f>
        <v>Westford Lane</v>
      </c>
      <c r="J24" s="58" t="str">
        <f>IFERROR(__xludf.DUMMYFUNCTION("""COMPUTED_VALUE"""),"Corner")</f>
        <v>Corner</v>
      </c>
      <c r="K24" s="59" t="str">
        <f>IFERROR(__xludf.DUMMYFUNCTION("""COMPUTED_VALUE"""),"Bobby's Ranch")</f>
        <v>Bobby's Ranch</v>
      </c>
      <c r="L24" s="58" t="str">
        <f>IFERROR(__xludf.DUMMYFUNCTION("""COMPUTED_VALUE"""),"Painted")</f>
        <v>Painted</v>
      </c>
      <c r="M24" s="59" t="str">
        <f>IFERROR(__xludf.DUMMYFUNCTION("""COMPUTED_VALUE"""),"State")</f>
        <v>State</v>
      </c>
      <c r="N24" s="58" t="str">
        <f>IFERROR(__xludf.DUMMYFUNCTION("""COMPUTED_VALUE"""),"42.52881215")</f>
        <v>42.52881215</v>
      </c>
      <c r="O24" s="58" t="str">
        <f>IFERROR(__xludf.DUMMYFUNCTION("""COMPUTED_VALUE"""),"-71.42853451")</f>
        <v>-71.42853451</v>
      </c>
    </row>
    <row r="25" ht="49.5" customHeight="1">
      <c r="A25" s="58"/>
      <c r="B25" s="58"/>
      <c r="C25" s="58"/>
      <c r="D25" s="58"/>
      <c r="E25" s="58"/>
      <c r="F25" s="58"/>
      <c r="G25" s="58" t="str">
        <f>IFERROR(__xludf.DUMMYFUNCTION("""COMPUTED_VALUE"""),"X")</f>
        <v>X</v>
      </c>
      <c r="H25" s="58"/>
      <c r="I25" s="59" t="str">
        <f>IFERROR(__xludf.DUMMYFUNCTION("""COMPUTED_VALUE"""),"Conant Street")</f>
        <v>Conant Street</v>
      </c>
      <c r="J25" s="58" t="str">
        <f>IFERROR(__xludf.DUMMYFUNCTION("""COMPUTED_VALUE"""),"Street Crossing")</f>
        <v>Street Crossing</v>
      </c>
      <c r="K25" s="59" t="str">
        <f>IFERROR(__xludf.DUMMYFUNCTION("""COMPUTED_VALUE"""),"golf course")</f>
        <v>golf course</v>
      </c>
      <c r="L25" s="58" t="str">
        <f>IFERROR(__xludf.DUMMYFUNCTION("""COMPUTED_VALUE"""),"Painted")</f>
        <v>Painted</v>
      </c>
      <c r="M25" s="59" t="str">
        <f>IFERROR(__xludf.DUMMYFUNCTION("""COMPUTED_VALUE"""),"GIS iPad")</f>
        <v>GIS iPad</v>
      </c>
      <c r="N25" s="58" t="str">
        <f>IFERROR(__xludf.DUMMYFUNCTION("""COMPUTED_VALUE"""),"42.445701")</f>
        <v>42.445701</v>
      </c>
      <c r="O25" s="58" t="str">
        <f>IFERROR(__xludf.DUMMYFUNCTION("""COMPUTED_VALUE"""),"-71.452587")</f>
        <v>-71.452587</v>
      </c>
    </row>
    <row r="26" ht="49.5" customHeight="1">
      <c r="A26" s="58"/>
      <c r="B26" s="58"/>
      <c r="C26" s="58"/>
      <c r="D26" s="58"/>
      <c r="E26" s="58"/>
      <c r="F26" s="58"/>
      <c r="G26" s="58" t="str">
        <f>IFERROR(__xludf.DUMMYFUNCTION("""COMPUTED_VALUE"""),"X")</f>
        <v>X</v>
      </c>
      <c r="H26" s="58"/>
      <c r="I26" s="59" t="str">
        <f>IFERROR(__xludf.DUMMYFUNCTION("""COMPUTED_VALUE"""),"Main Street (Rte 27)")</f>
        <v>Main Street (Rte 27)</v>
      </c>
      <c r="J26" s="58" t="str">
        <f>IFERROR(__xludf.DUMMYFUNCTION("""COMPUTED_VALUE"""),"Street Crossing")</f>
        <v>Street Crossing</v>
      </c>
      <c r="K26" s="59" t="str">
        <f>IFERROR(__xludf.DUMMYFUNCTION("""COMPUTED_VALUE"""),"Christmas Motors, Bruce Freeman Rail Trail")</f>
        <v>Christmas Motors, Bruce Freeman Rail Trail</v>
      </c>
      <c r="L26" s="58" t="str">
        <f>IFERROR(__xludf.DUMMYFUNCTION("""COMPUTED_VALUE"""),"Painted")</f>
        <v>Painted</v>
      </c>
      <c r="M26" s="59" t="str">
        <f>IFERROR(__xludf.DUMMYFUNCTION("""COMPUTED_VALUE"""),"GIS iPad")</f>
        <v>GIS iPad</v>
      </c>
      <c r="N26" s="58" t="str">
        <f>IFERROR(__xludf.DUMMYFUNCTION("""COMPUTED_VALUE"""),"42.446230")</f>
        <v>42.446230</v>
      </c>
      <c r="O26" s="58" t="str">
        <f>IFERROR(__xludf.DUMMYFUNCTION("""COMPUTED_VALUE"""),"-71.453932")</f>
        <v>-71.453932</v>
      </c>
    </row>
    <row r="27" ht="49.5" customHeight="1">
      <c r="A27" s="58"/>
      <c r="B27" s="58"/>
      <c r="C27" s="58"/>
      <c r="D27" s="58"/>
      <c r="E27" s="58"/>
      <c r="F27" s="58"/>
      <c r="G27" s="58" t="str">
        <f>IFERROR(__xludf.DUMMYFUNCTION("""COMPUTED_VALUE"""),"X")</f>
        <v>X</v>
      </c>
      <c r="H27" s="58"/>
      <c r="I27" s="59" t="str">
        <f>IFERROR(__xludf.DUMMYFUNCTION("""COMPUTED_VALUE"""),"Parker Street")</f>
        <v>Parker Street</v>
      </c>
      <c r="J27" s="58" t="str">
        <f>IFERROR(__xludf.DUMMYFUNCTION("""COMPUTED_VALUE"""),"Street Crossing")</f>
        <v>Street Crossing</v>
      </c>
      <c r="K27" s="59" t="str">
        <f>IFERROR(__xludf.DUMMYFUNCTION("""COMPUTED_VALUE"""),"Pine Hill Road, golf course")</f>
        <v>Pine Hill Road, golf course</v>
      </c>
      <c r="L27" s="58" t="str">
        <f>IFERROR(__xludf.DUMMYFUNCTION("""COMPUTED_VALUE"""),"Painted")</f>
        <v>Painted</v>
      </c>
      <c r="M27" s="59" t="str">
        <f>IFERROR(__xludf.DUMMYFUNCTION("""COMPUTED_VALUE"""),"GIS iPad")</f>
        <v>GIS iPad</v>
      </c>
      <c r="N27" s="58" t="str">
        <f>IFERROR(__xludf.DUMMYFUNCTION("""COMPUTED_VALUE"""),"42.442279")</f>
        <v>42.442279</v>
      </c>
      <c r="O27" s="58" t="str">
        <f>IFERROR(__xludf.DUMMYFUNCTION("""COMPUTED_VALUE"""),"-71.443880")</f>
        <v>-71.443880</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IFERROR(__xludf.DUMMYFUNCTION("""COMPUTED_VALUE"""),"42.45032864")</f>
        <v>42.45032864</v>
      </c>
      <c r="O28" s="58" t="str">
        <f>IFERROR(__xludf.DUMMYFUNCTION("""COMPUTED_VALUE"""),"-71.464329")</f>
        <v>-71.464329</v>
      </c>
    </row>
    <row r="29" ht="49.5" customHeight="1">
      <c r="A29" s="58"/>
      <c r="B29" s="58"/>
      <c r="C29" s="58"/>
      <c r="D29" s="58"/>
      <c r="E29" s="58"/>
      <c r="F29" s="58"/>
      <c r="G29" s="58"/>
      <c r="H29" s="58" t="str">
        <f>IFERROR(__xludf.DUMMYFUNCTION("""COMPUTED_VALUE"""),"X")</f>
        <v>X</v>
      </c>
      <c r="I29" s="59" t="str">
        <f>IFERROR(__xludf.DUMMYFUNCTION("""COMPUTED_VALUE"""),"Liberty Street")</f>
        <v>Liberty Street</v>
      </c>
      <c r="J29" s="58" t="str">
        <f>IFERROR(__xludf.DUMMYFUNCTION("""COMPUTED_VALUE"""),"Street Crossing")</f>
        <v>Street Crossing</v>
      </c>
      <c r="K29" s="59"/>
      <c r="L29" s="58" t="str">
        <f>IFERROR(__xludf.DUMMYFUNCTION("""COMPUTED_VALUE"""),"Painted")</f>
        <v>Painted</v>
      </c>
      <c r="M29" s="59" t="str">
        <f>IFERROR(__xludf.DUMMYFUNCTION("""COMPUTED_VALUE"""),"GIS iPad")</f>
        <v>GIS iPad</v>
      </c>
      <c r="N29" s="58" t="str">
        <f>IFERROR(__xludf.DUMMYFUNCTION("""COMPUTED_VALUE"""),"42.451503")</f>
        <v>42.451503</v>
      </c>
      <c r="O29" s="58" t="str">
        <f>IFERROR(__xludf.DUMMYFUNCTION("""COMPUTED_VALUE"""),"-71.467322")</f>
        <v>-71.467322</v>
      </c>
    </row>
    <row r="30" ht="46.5" customHeight="1">
      <c r="A30" s="58"/>
      <c r="B30" s="58"/>
      <c r="C30" s="58"/>
      <c r="D30" s="58"/>
      <c r="E30" s="58"/>
      <c r="F30" s="58"/>
      <c r="G30" s="58"/>
      <c r="H30" s="58" t="str">
        <f>IFERROR(__xludf.DUMMYFUNCTION("""COMPUTED_VALUE"""),"X")</f>
        <v>X</v>
      </c>
      <c r="I30" s="59" t="str">
        <f>IFERROR(__xludf.DUMMYFUNCTION("""COMPUTED_VALUE"""),"Stow Street")</f>
        <v>Stow Street</v>
      </c>
      <c r="J30" s="58" t="str">
        <f>IFERROR(__xludf.DUMMYFUNCTION("""COMPUTED_VALUE"""),"Street Crossing")</f>
        <v>Street Crossing</v>
      </c>
      <c r="K30" s="59" t="str">
        <f>IFERROR(__xludf.DUMMYFUNCTION("""COMPUTED_VALUE"""),"Lombardo Loam and Gravel")</f>
        <v>Lombardo Loam and Gravel</v>
      </c>
      <c r="L30" s="58" t="str">
        <f>IFERROR(__xludf.DUMMYFUNCTION("""COMPUTED_VALUE"""),"Painted")</f>
        <v>Painted</v>
      </c>
      <c r="M30" s="59" t="str">
        <f>IFERROR(__xludf.DUMMYFUNCTION("""COMPUTED_VALUE"""),"GIS iPad")</f>
        <v>GIS iPad</v>
      </c>
      <c r="N30" s="58" t="str">
        <f>IFERROR(__xludf.DUMMYFUNCTION("""COMPUTED_VALUE"""),"42.453390")</f>
        <v>42.453390</v>
      </c>
      <c r="O30" s="58"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496</v>
      </c>
      <c r="B1" s="60" t="s">
        <v>497</v>
      </c>
      <c r="C1" s="60" t="s">
        <v>498</v>
      </c>
      <c r="D1" s="8" t="s">
        <v>499</v>
      </c>
      <c r="E1" s="8" t="s">
        <v>402</v>
      </c>
    </row>
    <row r="2">
      <c r="A2" s="8" t="s">
        <v>500</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-0.049855015</v>
      </c>
      <c r="H2" s="61">
        <f t="shared" ref="H2:R2" si="1">($D2-H$16)^2+($E2-H$15)^2</f>
        <v>0.001351855219</v>
      </c>
      <c r="I2" s="61">
        <f t="shared" si="1"/>
        <v>0.008486796484</v>
      </c>
      <c r="J2" s="61">
        <f t="shared" si="1"/>
        <v>0.01018472919</v>
      </c>
      <c r="K2" s="61">
        <f t="shared" si="1"/>
        <v>0.009165595831</v>
      </c>
      <c r="L2" s="61">
        <f t="shared" si="1"/>
        <v>0.01120558885</v>
      </c>
      <c r="M2" s="61">
        <f t="shared" si="1"/>
        <v>0.001330676926</v>
      </c>
      <c r="N2" s="61">
        <f t="shared" si="1"/>
        <v>0.006021331776</v>
      </c>
      <c r="O2" s="61">
        <f t="shared" si="1"/>
        <v>0.003865824739</v>
      </c>
      <c r="P2" s="61">
        <f t="shared" si="1"/>
        <v>0.007440579715</v>
      </c>
      <c r="Q2" s="61">
        <f t="shared" si="1"/>
        <v>0</v>
      </c>
      <c r="R2" s="61">
        <f t="shared" si="1"/>
        <v>0.007398852777</v>
      </c>
    </row>
    <row r="3">
      <c r="A3" s="8" t="s">
        <v>501</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-0.036401515</v>
      </c>
      <c r="H3" s="61">
        <f t="shared" ref="H3:R3" si="4">($D3-H$16)^2+($E3-H$15)^2</f>
        <v>0</v>
      </c>
      <c r="I3" s="61">
        <f t="shared" si="4"/>
        <v>0.01329887523</v>
      </c>
      <c r="J3" s="61">
        <f t="shared" si="4"/>
        <v>0.01403482705</v>
      </c>
      <c r="K3" s="61">
        <f t="shared" si="4"/>
        <v>0.01448795931</v>
      </c>
      <c r="L3" s="61">
        <f t="shared" si="4"/>
        <v>0.01474170363</v>
      </c>
      <c r="M3" s="61">
        <f t="shared" si="4"/>
        <v>0.005365400359</v>
      </c>
      <c r="N3" s="61">
        <f t="shared" si="4"/>
        <v>0.007446325415</v>
      </c>
      <c r="O3" s="61">
        <f t="shared" si="4"/>
        <v>0.005032919978</v>
      </c>
      <c r="P3" s="61">
        <f t="shared" si="4"/>
        <v>0.00913083408</v>
      </c>
      <c r="Q3" s="61">
        <f t="shared" si="4"/>
        <v>0.001352171477</v>
      </c>
      <c r="R3" s="61">
        <f t="shared" si="4"/>
        <v>0.009483781984</v>
      </c>
    </row>
    <row r="4">
      <c r="A4" s="8" t="s">
        <v>502</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-0.063237415</v>
      </c>
      <c r="H4" s="61">
        <f t="shared" ref="H4:R4" si="5">($D4-H$16)^2+($E4-H$15)^2</f>
        <v>0.005364507621</v>
      </c>
      <c r="I4" s="61">
        <f t="shared" si="5"/>
        <v>0.006391294604</v>
      </c>
      <c r="J4" s="61">
        <f t="shared" si="5"/>
        <v>0.009044739816</v>
      </c>
      <c r="K4" s="61">
        <f t="shared" si="5"/>
        <v>0.006563895468</v>
      </c>
      <c r="L4" s="61">
        <f t="shared" si="5"/>
        <v>0.01037758307</v>
      </c>
      <c r="M4" s="61">
        <f t="shared" si="5"/>
        <v>0</v>
      </c>
      <c r="N4" s="61">
        <f t="shared" si="5"/>
        <v>0.007285589844</v>
      </c>
      <c r="O4" s="61">
        <f t="shared" si="5"/>
        <v>0.005384683034</v>
      </c>
      <c r="P4" s="61">
        <f t="shared" si="5"/>
        <v>0.008442385134</v>
      </c>
      <c r="Q4" s="61">
        <f t="shared" si="5"/>
        <v>0.001330337987</v>
      </c>
      <c r="R4" s="61">
        <f t="shared" si="5"/>
        <v>0.008009097012</v>
      </c>
    </row>
    <row r="5">
      <c r="A5" s="8" t="s">
        <v>503</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-0.000008715000099</v>
      </c>
      <c r="H5" s="61">
        <f t="shared" ref="H5:R5" si="6">($D5-H$16)^2+($E5-H$15)^2</f>
        <v>0.001950436016</v>
      </c>
      <c r="I5" s="61">
        <f t="shared" si="6"/>
        <v>0.006762439177</v>
      </c>
      <c r="J5" s="61">
        <f t="shared" si="6"/>
        <v>0.006397324995</v>
      </c>
      <c r="K5" s="61">
        <f t="shared" si="6"/>
        <v>0.007825252228</v>
      </c>
      <c r="L5" s="61">
        <f t="shared" si="6"/>
        <v>0.00662366547</v>
      </c>
      <c r="M5" s="61">
        <f t="shared" si="6"/>
        <v>0.005858488905</v>
      </c>
      <c r="N5" s="61">
        <f t="shared" si="6"/>
        <v>0.001967170272</v>
      </c>
      <c r="O5" s="61">
        <f t="shared" si="6"/>
        <v>0.0009545337125</v>
      </c>
      <c r="P5" s="61">
        <f t="shared" si="6"/>
        <v>0.002844440636</v>
      </c>
      <c r="Q5" s="61">
        <f t="shared" si="6"/>
        <v>0.002569525198</v>
      </c>
      <c r="R5" s="61">
        <f t="shared" si="6"/>
        <v>0.003150487348</v>
      </c>
    </row>
    <row r="6">
      <c r="A6" s="8" t="s">
        <v>504</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0.004278485</v>
      </c>
      <c r="H6" s="61">
        <f t="shared" ref="H6:R6" si="7">($D6-H$16)^2+($E6-H$15)^2</f>
        <v>0.01456006624</v>
      </c>
      <c r="I6" s="61">
        <f t="shared" si="7"/>
        <v>0.00004937795347</v>
      </c>
      <c r="J6" s="61">
        <f t="shared" si="7"/>
        <v>0.0006477542045</v>
      </c>
      <c r="K6" s="61">
        <f t="shared" si="7"/>
        <v>0.00000013789346</v>
      </c>
      <c r="L6" s="61">
        <f t="shared" si="7"/>
        <v>0.001086067572</v>
      </c>
      <c r="M6" s="61">
        <f t="shared" si="7"/>
        <v>0.006623988288</v>
      </c>
      <c r="N6" s="61">
        <f t="shared" si="7"/>
        <v>0.002820914396</v>
      </c>
      <c r="O6" s="61">
        <f t="shared" si="7"/>
        <v>0.003501418994</v>
      </c>
      <c r="P6" s="61">
        <f t="shared" si="7"/>
        <v>0.00249268835</v>
      </c>
      <c r="Q6" s="61">
        <f t="shared" si="7"/>
        <v>0.009232208395</v>
      </c>
      <c r="R6" s="61">
        <f t="shared" si="7"/>
        <v>0.001981574626</v>
      </c>
    </row>
    <row r="7">
      <c r="A7" s="8" t="s">
        <v>505</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0.021984385</v>
      </c>
      <c r="H7" s="61">
        <f t="shared" ref="H7:R7" si="8">($D7-H$16)^2+($E7-H$15)^2</f>
        <v>0.007445125847</v>
      </c>
      <c r="I7" s="61">
        <f t="shared" si="8"/>
        <v>0.002123531939</v>
      </c>
      <c r="J7" s="61">
        <f t="shared" si="8"/>
        <v>0.001391614652</v>
      </c>
      <c r="K7" s="61">
        <f t="shared" si="8"/>
        <v>0.002810350355</v>
      </c>
      <c r="L7" s="61">
        <f t="shared" si="8"/>
        <v>0.001400915928</v>
      </c>
      <c r="M7" s="61">
        <f t="shared" si="8"/>
        <v>0.00728422526</v>
      </c>
      <c r="N7" s="61">
        <f t="shared" si="8"/>
        <v>0</v>
      </c>
      <c r="O7" s="61">
        <f t="shared" si="8"/>
        <v>0.0002512798999</v>
      </c>
      <c r="P7" s="61">
        <f t="shared" si="8"/>
        <v>0.00008613811397</v>
      </c>
      <c r="Q7" s="61">
        <f t="shared" si="8"/>
        <v>0.006020419721</v>
      </c>
      <c r="R7" s="61">
        <f t="shared" si="8"/>
        <v>0.0001421492138</v>
      </c>
    </row>
    <row r="8">
      <c r="A8" s="8" t="s">
        <v>506</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0.026003585</v>
      </c>
      <c r="H8" s="61">
        <f t="shared" ref="H8:R8" si="9">($D8-H$16)^2+($E8-H$15)^2</f>
        <v>0.009482486795</v>
      </c>
      <c r="I8" s="61">
        <f t="shared" si="9"/>
        <v>0.001413656618</v>
      </c>
      <c r="J8" s="61">
        <f t="shared" si="9"/>
        <v>0.0006681253582</v>
      </c>
      <c r="K8" s="61">
        <f t="shared" si="9"/>
        <v>0.001978149651</v>
      </c>
      <c r="L8" s="61">
        <f t="shared" si="9"/>
        <v>0.000650887213</v>
      </c>
      <c r="M8" s="61">
        <f t="shared" si="9"/>
        <v>0.008007623964</v>
      </c>
      <c r="N8" s="61">
        <f t="shared" si="9"/>
        <v>0.0001420418335</v>
      </c>
      <c r="O8" s="61">
        <f t="shared" si="9"/>
        <v>0.0006989711991</v>
      </c>
      <c r="P8" s="61">
        <f t="shared" si="9"/>
        <v>0.00002934267828</v>
      </c>
      <c r="Q8" s="61">
        <f t="shared" si="9"/>
        <v>0.007397906146</v>
      </c>
      <c r="R8" s="61">
        <f t="shared" si="9"/>
        <v>0</v>
      </c>
    </row>
    <row r="9">
      <c r="A9" s="8" t="s">
        <v>507</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0.026150085</v>
      </c>
      <c r="H9" s="61">
        <f t="shared" ref="H9:R9" si="10">($D9-H$16)^2+($E9-H$15)^2</f>
        <v>0.01403341893</v>
      </c>
      <c r="I9" s="61">
        <f t="shared" si="10"/>
        <v>0.0004212709982</v>
      </c>
      <c r="J9" s="61">
        <f t="shared" si="10"/>
        <v>0</v>
      </c>
      <c r="K9" s="61">
        <f t="shared" si="10"/>
        <v>0.000655366939</v>
      </c>
      <c r="L9" s="61">
        <f t="shared" si="10"/>
        <v>0.00006158206588</v>
      </c>
      <c r="M9" s="61">
        <f t="shared" si="10"/>
        <v>0.009043130794</v>
      </c>
      <c r="N9" s="61">
        <f t="shared" si="10"/>
        <v>0.001391576807</v>
      </c>
      <c r="O9" s="61">
        <f t="shared" si="10"/>
        <v>0.002413606947</v>
      </c>
      <c r="P9" s="61">
        <f t="shared" si="10"/>
        <v>0.0009417635615</v>
      </c>
      <c r="Q9" s="61">
        <f t="shared" si="10"/>
        <v>0.01018378288</v>
      </c>
      <c r="R9" s="61">
        <f t="shared" si="10"/>
        <v>0.0006681975512</v>
      </c>
    </row>
    <row r="10">
      <c r="A10" s="8" t="s">
        <v>508</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0.033839285</v>
      </c>
      <c r="H10" s="61">
        <f t="shared" ref="H10:R10" si="11">($D10-H$16)^2+($E10-H$15)^2</f>
        <v>0.01474127264</v>
      </c>
      <c r="I10" s="61">
        <f t="shared" si="11"/>
        <v>0.0008028764205</v>
      </c>
      <c r="J10" s="61">
        <f t="shared" si="11"/>
        <v>0.00006144939647</v>
      </c>
      <c r="K10" s="61">
        <f t="shared" si="11"/>
        <v>0.00109813081</v>
      </c>
      <c r="L10" s="61">
        <f t="shared" si="11"/>
        <v>0</v>
      </c>
      <c r="M10" s="61">
        <f t="shared" si="11"/>
        <v>0.01037753939</v>
      </c>
      <c r="N10" s="61">
        <f t="shared" si="11"/>
        <v>0.001400759249</v>
      </c>
      <c r="O10" s="61">
        <f t="shared" si="11"/>
        <v>0.002596410728</v>
      </c>
      <c r="P10" s="61">
        <f t="shared" si="11"/>
        <v>0.0008692858686</v>
      </c>
      <c r="Q10" s="61">
        <f t="shared" si="11"/>
        <v>0.01120593295</v>
      </c>
      <c r="R10" s="61">
        <f t="shared" si="11"/>
        <v>0.0006507879887</v>
      </c>
    </row>
    <row r="11">
      <c r="A11" s="8" t="s">
        <v>509</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0.028617385</v>
      </c>
      <c r="H11" s="61">
        <f t="shared" ref="H11:R11" si="12">($D11-H$16)^2+($E11-H$15)^2</f>
        <v>0.009129501649</v>
      </c>
      <c r="I11" s="61">
        <f t="shared" si="12"/>
        <v>0.001849639448</v>
      </c>
      <c r="J11" s="61">
        <f t="shared" si="12"/>
        <v>0.0009415881436</v>
      </c>
      <c r="K11" s="61">
        <f t="shared" si="12"/>
        <v>0.002488806477</v>
      </c>
      <c r="L11" s="61">
        <f t="shared" si="12"/>
        <v>0.0008693372576</v>
      </c>
      <c r="M11" s="61">
        <f t="shared" si="12"/>
        <v>0.008440878854</v>
      </c>
      <c r="N11" s="61">
        <f t="shared" si="12"/>
        <v>0.00008592434518</v>
      </c>
      <c r="O11" s="61">
        <f t="shared" si="12"/>
        <v>0.0006268241261</v>
      </c>
      <c r="P11" s="61">
        <f t="shared" si="12"/>
        <v>0</v>
      </c>
      <c r="Q11" s="61">
        <f t="shared" si="12"/>
        <v>0.007439583857</v>
      </c>
      <c r="R11" s="61">
        <f t="shared" si="12"/>
        <v>0.00002923768412</v>
      </c>
    </row>
    <row r="12">
      <c r="A12" s="8" t="s">
        <v>510</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0.006633985</v>
      </c>
      <c r="H12" s="61">
        <f t="shared" ref="H12:R12" si="13">($D12-H$16)^2+($E12-H$15)^2</f>
        <v>0.01329773885</v>
      </c>
      <c r="I12" s="61">
        <f t="shared" si="13"/>
        <v>0</v>
      </c>
      <c r="J12" s="61">
        <f t="shared" si="13"/>
        <v>0.0004219690119</v>
      </c>
      <c r="K12" s="61">
        <f t="shared" si="13"/>
        <v>0.00004811135125</v>
      </c>
      <c r="L12" s="61">
        <f t="shared" si="13"/>
        <v>0.0008033484</v>
      </c>
      <c r="M12" s="61">
        <f t="shared" si="13"/>
        <v>0.006389965451</v>
      </c>
      <c r="N12" s="61">
        <f t="shared" si="13"/>
        <v>0.002124188828</v>
      </c>
      <c r="O12" s="61">
        <f t="shared" si="13"/>
        <v>0.002748385528</v>
      </c>
      <c r="P12" s="61">
        <f t="shared" si="13"/>
        <v>0.001850510714</v>
      </c>
      <c r="Q12" s="61">
        <f t="shared" si="13"/>
        <v>0.00848609105</v>
      </c>
      <c r="R12" s="61">
        <f t="shared" si="13"/>
        <v>0.001414422628</v>
      </c>
    </row>
    <row r="13">
      <c r="A13" s="8" t="s">
        <v>511</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0.008873885</v>
      </c>
      <c r="H13" s="61">
        <f t="shared" ref="H13:R13" si="14">($D13-H$16)^2+($E13-H$15)^2</f>
        <v>0.005031985722</v>
      </c>
      <c r="I13" s="61">
        <f t="shared" si="14"/>
        <v>0.002748151734</v>
      </c>
      <c r="J13" s="61">
        <f t="shared" si="14"/>
        <v>0.002414064728</v>
      </c>
      <c r="K13" s="61">
        <f t="shared" si="14"/>
        <v>0.003479283563</v>
      </c>
      <c r="L13" s="61">
        <f t="shared" si="14"/>
        <v>0.002596766859</v>
      </c>
      <c r="M13" s="61">
        <f t="shared" si="14"/>
        <v>0.005383586454</v>
      </c>
      <c r="N13" s="61">
        <f t="shared" si="14"/>
        <v>0.0002517095076</v>
      </c>
      <c r="O13" s="61">
        <f t="shared" si="14"/>
        <v>0</v>
      </c>
      <c r="P13" s="61">
        <f t="shared" si="14"/>
        <v>0.0006274651317</v>
      </c>
      <c r="Q13" s="61">
        <f t="shared" si="14"/>
        <v>0.003865092331</v>
      </c>
      <c r="R13" s="61">
        <f t="shared" si="14"/>
        <v>0.0006995026535</v>
      </c>
    </row>
    <row r="14">
      <c r="A14" s="8"/>
      <c r="B14" s="8"/>
      <c r="D14" s="8"/>
      <c r="E14" s="8"/>
      <c r="F14" s="3" t="s">
        <v>512</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IFERROR(__xludf.DUMMYFUNCTION("""COMPUTED_VALUE"""),"Acton/Carlisle/Concord")</f>
        <v>Acton/Carlisle/Concord</v>
      </c>
      <c r="L14" s="5" t="str">
        <f>IFERROR(__xludf.DUMMYFUNCTION("""COMPUTED_VALUE"""),"Acton/Carlisle/Westford")</f>
        <v>Acton/Carlisle/Westford</v>
      </c>
      <c r="M14" s="5" t="str">
        <f>IFERROR(__xludf.DUMMYFUNCTION("""COMPUTED_VALUE"""),"Acton/Concord/Maynard/Sudbury")</f>
        <v>Acton/Concord/Maynard/Sudbury</v>
      </c>
      <c r="N14" s="5" t="str">
        <f>IFERROR(__xludf.DUMMYFUNCTION("""COMPUTED_VALUE"""),"Acton/Littleton 1")</f>
        <v>Acton/Littleton 1</v>
      </c>
      <c r="O14" s="5" t="str">
        <f>IFERROR(__xludf.DUMMYFUNCTION("""COMPUTED_VALUE"""),"Acton/Littleton 2")</f>
        <v>Acton/Littleton 2</v>
      </c>
      <c r="P14" s="5" t="str">
        <f>IFERROR(__xludf.DUMMYFUNCTION("""COMPUTED_VALUE"""),"Acton/Littleton/Westford")</f>
        <v>Acton/Littleton/Westford</v>
      </c>
      <c r="Q14" s="5" t="str">
        <f>IFERROR(__xludf.DUMMYFUNCTION("""COMPUTED_VALUE"""),"Acton/Maynard/Stow")</f>
        <v>Acton/Maynard/Stow</v>
      </c>
      <c r="R14" s="5" t="str">
        <f>IFERROR(__xludf.DUMMYFUNCTION("""COMPUTED_VALUE"""),"Acton/Westford")</f>
        <v>Acton/Westford</v>
      </c>
    </row>
    <row r="15">
      <c r="A15" s="8"/>
      <c r="B15" s="8"/>
      <c r="D15" s="8"/>
      <c r="E15" s="8"/>
      <c r="F15" s="3" t="s">
        <v>513</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IFERROR(__xludf.DUMMYFUNCTION("""COMPUTED_VALUE"""),-71.385158)</f>
        <v>-71.385158</v>
      </c>
      <c r="L15" s="5">
        <f>IFERROR(__xludf.DUMMYFUNCTION("""COMPUTED_VALUE"""),-71.399515336)</f>
        <v>-71.39951534</v>
      </c>
      <c r="M15" s="5">
        <f>IFERROR(__xludf.DUMMYFUNCTION("""COMPUTED_VALUE"""),-71.430394779)</f>
        <v>-71.43039478</v>
      </c>
      <c r="N15" s="5">
        <f>IFERROR(__xludf.DUMMYFUNCTION("""COMPUTED_VALUE"""),-71.435017906)</f>
        <v>-71.43501791</v>
      </c>
      <c r="O15" s="5">
        <f>IFERROR(__xludf.DUMMYFUNCTION("""COMPUTED_VALUE"""),-71.443940303)</f>
        <v>-71.4439403</v>
      </c>
      <c r="P15" s="5">
        <f>IFERROR(__xludf.DUMMYFUNCTION("""COMPUTED_VALUE"""),-71.428534514)</f>
        <v>-71.42853451</v>
      </c>
      <c r="Q15" s="5">
        <f>IFERROR(__xludf.DUMMYFUNCTION("""COMPUTED_VALUE"""),-71.4643289959999)</f>
        <v>-71.464329</v>
      </c>
      <c r="R15" s="5">
        <f>IFERROR(__xludf.DUMMYFUNCTION("""COMPUTED_VALUE"""),-71.42379555)</f>
        <v>-71.42379555</v>
      </c>
    </row>
    <row r="16">
      <c r="A16" s="8"/>
      <c r="B16" s="8"/>
      <c r="D16" s="8"/>
      <c r="E16" s="8"/>
      <c r="F16" s="3" t="s">
        <v>514</v>
      </c>
      <c r="G16" s="5">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IFERROR(__xludf.DUMMYFUNCTION("""COMPUTED_VALUE"""),42.504159)</f>
        <v>42.504159</v>
      </c>
      <c r="L16" s="5">
        <f>IFERROR(__xludf.DUMMYFUNCTION("""COMPUTED_VALUE"""),42.534025086)</f>
        <v>42.53402509</v>
      </c>
      <c r="M16" s="5">
        <f>IFERROR(__xludf.DUMMYFUNCTION("""COMPUTED_VALUE"""),42.436947994)</f>
        <v>42.43694799</v>
      </c>
      <c r="N16" s="5">
        <f>IFERROR(__xludf.DUMMYFUNCTION("""COMPUTED_VALUE"""),42.5221791480001)</f>
        <v>42.52217915</v>
      </c>
      <c r="O16" s="5">
        <f>IFERROR(__xludf.DUMMYFUNCTION("""COMPUTED_VALUE"""),42.509068563)</f>
        <v>42.50906856</v>
      </c>
      <c r="P16" s="5">
        <f>IFERROR(__xludf.DUMMYFUNCTION("""COMPUTED_VALUE"""),42.528812154)</f>
        <v>42.52881215</v>
      </c>
      <c r="Q16" s="5">
        <f>IFERROR(__xludf.DUMMYFUNCTION("""COMPUTED_VALUE"""),42.4503286410001)</f>
        <v>42.45032864</v>
      </c>
      <c r="R16" s="5">
        <f>IFERROR(__xludf.DUMMYFUNCTION("""COMPUTED_VALUE"""),42.5261982760001)</f>
        <v>42.52619828</v>
      </c>
    </row>
    <row r="17">
      <c r="F17" s="3" t="s">
        <v>515</v>
      </c>
      <c r="G17" s="5" t="str">
        <f t="shared" ref="G17:R17" si="15">vlookup(G$14,$B:$E,4,False)</f>
        <v>-71.4735288</v>
      </c>
      <c r="H17" s="5" t="str">
        <f t="shared" si="15"/>
        <v>-71.4985505</v>
      </c>
      <c r="I17" s="5" t="str">
        <f t="shared" si="15"/>
        <v>-71.3915635</v>
      </c>
      <c r="J17" s="5" t="str">
        <f t="shared" si="15"/>
        <v>-71.3979464</v>
      </c>
      <c r="K17" s="5" t="str">
        <f t="shared" si="15"/>
        <v>-71.3849469</v>
      </c>
      <c r="L17" s="5" t="str">
        <f t="shared" si="15"/>
        <v>-71.3995154</v>
      </c>
      <c r="M17" s="5" t="str">
        <f t="shared" si="15"/>
        <v>-71.4303980</v>
      </c>
      <c r="N17" s="5" t="str">
        <f t="shared" si="15"/>
        <v>-71.4350172</v>
      </c>
      <c r="O17" s="5" t="str">
        <f t="shared" si="15"/>
        <v>-71.4439395</v>
      </c>
      <c r="P17" s="5" t="str">
        <f t="shared" si="15"/>
        <v>-71.4285338</v>
      </c>
      <c r="Q17" s="5" t="str">
        <f t="shared" si="15"/>
        <v>-71.4643296</v>
      </c>
      <c r="R17" s="5" t="str">
        <f t="shared" si="15"/>
        <v>-71.4237948</v>
      </c>
    </row>
    <row r="18">
      <c r="F18" s="3" t="s">
        <v>516</v>
      </c>
      <c r="G18" s="5" t="str">
        <f t="shared" ref="G18:R18" si="16">vlookup(G$14,$B:$E,3,False)</f>
        <v>42.5001773</v>
      </c>
      <c r="H18" s="5" t="str">
        <f t="shared" si="16"/>
        <v>42.4637845</v>
      </c>
      <c r="I18" s="5" t="str">
        <f t="shared" si="16"/>
        <v>42.5068200</v>
      </c>
      <c r="J18" s="5" t="str">
        <f t="shared" si="16"/>
        <v>42.5263361</v>
      </c>
      <c r="K18" s="5" t="str">
        <f t="shared" si="16"/>
        <v>42.5044645</v>
      </c>
      <c r="L18" s="5" t="str">
        <f t="shared" si="16"/>
        <v>42.5340253</v>
      </c>
      <c r="M18" s="5" t="str">
        <f t="shared" si="16"/>
        <v>42.4369486</v>
      </c>
      <c r="N18" s="5" t="str">
        <f t="shared" si="16"/>
        <v>42.5221704</v>
      </c>
      <c r="O18" s="5" t="str">
        <f t="shared" si="16"/>
        <v>42.5090599</v>
      </c>
      <c r="P18" s="5" t="str">
        <f t="shared" si="16"/>
        <v>42.5288034</v>
      </c>
      <c r="Q18" s="5" t="str">
        <f t="shared" si="16"/>
        <v>42.4503310</v>
      </c>
      <c r="R18" s="5" t="str">
        <f t="shared" si="16"/>
        <v>42.5261896</v>
      </c>
    </row>
    <row r="19">
      <c r="F19" s="3" t="s">
        <v>517</v>
      </c>
      <c r="G19" s="62">
        <f t="shared" ref="G19:R19" si="17">G17-G15</f>
        <v>0.0000006960000007</v>
      </c>
      <c r="H19" s="62">
        <f t="shared" si="17"/>
        <v>-0.000002795</v>
      </c>
      <c r="I19" s="62">
        <f t="shared" si="17"/>
        <v>0.0000006859999928</v>
      </c>
      <c r="J19" s="62">
        <f t="shared" si="17"/>
        <v>0.0000007450000084</v>
      </c>
      <c r="K19" s="62">
        <f t="shared" si="17"/>
        <v>0.0002111</v>
      </c>
      <c r="L19" s="62">
        <f t="shared" si="17"/>
        <v>-0.0000000640000053</v>
      </c>
      <c r="M19" s="62">
        <f t="shared" si="17"/>
        <v>-0.000003221</v>
      </c>
      <c r="N19" s="62">
        <f t="shared" si="17"/>
        <v>0.0000007059999945</v>
      </c>
      <c r="O19" s="62">
        <f t="shared" si="17"/>
        <v>0.000000803000006</v>
      </c>
      <c r="P19" s="62">
        <f t="shared" si="17"/>
        <v>0.0000007140000093</v>
      </c>
      <c r="Q19" s="62">
        <f t="shared" si="17"/>
        <v>-0.0000006040000926</v>
      </c>
      <c r="R19" s="62">
        <f t="shared" si="17"/>
        <v>0.0000007499999981</v>
      </c>
    </row>
    <row r="20">
      <c r="F20" s="3" t="s">
        <v>518</v>
      </c>
      <c r="G20" s="62">
        <f t="shared" ref="G20:R20" si="18">G18-G16</f>
        <v>-0.000008715000099</v>
      </c>
      <c r="H20" s="62">
        <f t="shared" si="18"/>
        <v>0.0000007489999021</v>
      </c>
      <c r="I20" s="62">
        <f t="shared" si="18"/>
        <v>-0.000008708000102</v>
      </c>
      <c r="J20" s="62">
        <f t="shared" si="18"/>
        <v>-0.000008706999999</v>
      </c>
      <c r="K20" s="62">
        <f t="shared" si="18"/>
        <v>0.0003055</v>
      </c>
      <c r="L20" s="62">
        <f t="shared" si="18"/>
        <v>0.0000002140000035</v>
      </c>
      <c r="M20" s="62">
        <f t="shared" si="18"/>
        <v>0.0000006060000004</v>
      </c>
      <c r="N20" s="62">
        <f t="shared" si="18"/>
        <v>-0.000008748000099</v>
      </c>
      <c r="O20" s="62">
        <f t="shared" si="18"/>
        <v>-0.000008663000003</v>
      </c>
      <c r="P20" s="62">
        <f t="shared" si="18"/>
        <v>-0.000008754</v>
      </c>
      <c r="Q20" s="62">
        <f t="shared" si="18"/>
        <v>0.0000023589999</v>
      </c>
      <c r="R20" s="62">
        <f t="shared" si="18"/>
        <v>-0.0000086760001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519</v>
      </c>
      <c r="B2" s="3">
        <v>42.5001860150001</v>
      </c>
      <c r="C2" s="3">
        <v>-71.473529496</v>
      </c>
    </row>
    <row r="3">
      <c r="A3" s="3" t="s">
        <v>520</v>
      </c>
      <c r="B3" s="3">
        <v>42.4637837510001</v>
      </c>
      <c r="C3" s="3">
        <v>-71.498547705</v>
      </c>
    </row>
    <row r="4">
      <c r="A4" s="3" t="s">
        <v>521</v>
      </c>
      <c r="B4" s="3">
        <v>42.5068287080001</v>
      </c>
      <c r="C4" s="3">
        <v>-71.391564186</v>
      </c>
    </row>
    <row r="5">
      <c r="A5" s="3" t="s">
        <v>522</v>
      </c>
      <c r="B5" s="3">
        <v>42.526344807</v>
      </c>
      <c r="C5" s="3">
        <v>-71.397947145</v>
      </c>
    </row>
    <row r="6">
      <c r="A6" s="3" t="s">
        <v>523</v>
      </c>
      <c r="B6" s="3">
        <v>42.504473137</v>
      </c>
      <c r="C6" s="3">
        <v>-71.38494746</v>
      </c>
    </row>
    <row r="7">
      <c r="A7" s="3" t="s">
        <v>524</v>
      </c>
      <c r="B7" s="3">
        <v>42.534025086</v>
      </c>
      <c r="C7" s="3">
        <v>-71.399515336</v>
      </c>
    </row>
    <row r="8">
      <c r="A8" s="3" t="s">
        <v>525</v>
      </c>
      <c r="B8" s="3">
        <v>42.436947994</v>
      </c>
      <c r="C8" s="3">
        <v>-71.430394779</v>
      </c>
    </row>
    <row r="9">
      <c r="A9" s="3" t="s">
        <v>526</v>
      </c>
      <c r="B9" s="3">
        <v>42.5221791480001</v>
      </c>
      <c r="C9" s="3">
        <v>-71.435017906</v>
      </c>
    </row>
    <row r="10">
      <c r="A10" s="3" t="s">
        <v>527</v>
      </c>
      <c r="B10" s="3">
        <v>42.509068563</v>
      </c>
      <c r="C10" s="3">
        <v>-71.443940303</v>
      </c>
    </row>
    <row r="11">
      <c r="A11" s="3" t="s">
        <v>528</v>
      </c>
      <c r="B11" s="3">
        <v>42.528812154</v>
      </c>
      <c r="C11" s="3">
        <v>-71.428534514</v>
      </c>
    </row>
    <row r="12">
      <c r="A12" s="3" t="s">
        <v>529</v>
      </c>
      <c r="B12" s="3">
        <v>42.4503286410001</v>
      </c>
      <c r="C12" s="3">
        <v>-71.4643289959999</v>
      </c>
    </row>
    <row r="13">
      <c r="A13" s="3" t="s">
        <v>530</v>
      </c>
      <c r="B13" s="3">
        <v>42.5261982760001</v>
      </c>
      <c r="C13" s="3">
        <v>-71.42379555</v>
      </c>
    </row>
  </sheetData>
  <drawing r:id="rId1"/>
</worksheet>
</file>