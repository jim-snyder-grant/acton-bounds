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heme/theme1.xml" ContentType="application/vnd.openxmlformats-officedocument.theme+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Monuments" sheetId="2" state="visible" r:id="rId4"/>
    <sheet name="Contacts" sheetId="3" state="visible" r:id="rId5"/>
    <sheet name="KML CornersFromState" sheetId="4" state="visible" r:id="rId6"/>
  </sheets>
  <definedNames>
    <definedName function="false" hidden="true" localSheetId="1" name="_xlnm._FilterDatabase" vbProcedure="false">Monuments!$N$1:$N$993</definedName>
    <definedName function="false" hidden="false" name="CornersForMapping" vbProcedure="false">#ref!</definedName>
  </definedNames>
  <calcPr iterateCount="100" refMode="A1" iterate="false" iterateDelta="0.0001"/>
  <extLst>
    <ext xmlns:loext="http://schemas.libreoffice.org/" uri="{7626C862-2A13-11E5-B345-FEFF819CDC9F}">
      <loext:extCalcPr stringRefSyntax="CalcA1ExcelA1"/>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<sst xmlns="http://schemas.openxmlformats.org/spreadsheetml/2006/main" count="784" uniqueCount="415">
  <si>
    <t xml:space="preserve">Count by status/town</t>
  </si>
  <si>
    <t xml:space="preserve">Boxborough</t>
  </si>
  <si>
    <t xml:space="preserve">Littleton</t>
  </si>
  <si>
    <t xml:space="preserve">Westford</t>
  </si>
  <si>
    <t xml:space="preserve">Carlisle</t>
  </si>
  <si>
    <t xml:space="preserve">Concord</t>
  </si>
  <si>
    <t xml:space="preserve">Sudbury</t>
  </si>
  <si>
    <t xml:space="preserve">Maynard</t>
  </si>
  <si>
    <t xml:space="preserve">Stow</t>
  </si>
  <si>
    <t xml:space="preserve">Total</t>
  </si>
  <si>
    <t xml:space="preserve">All status</t>
  </si>
  <si>
    <t xml:space="preserve">Monuments</t>
  </si>
  <si>
    <t xml:space="preserve">The main sheet with data for each monument or potential monument</t>
  </si>
  <si>
    <t xml:space="preserve">Contacts</t>
  </si>
  <si>
    <t xml:space="preserve">Dates and names of participants and observers</t>
  </si>
  <si>
    <t xml:space="preserve">KML CornersFromState</t>
  </si>
  <si>
    <t xml:space="preserve">An export from state GIS of the Acton corners in KML format. That's in WGS84 (EPSG 4326), the datum we used. </t>
  </si>
  <si>
    <t xml:space="preserve">Name</t>
  </si>
  <si>
    <t xml:space="preserve">Type</t>
  </si>
  <si>
    <t xml:space="preserve">Nearest Acton street name</t>
  </si>
  <si>
    <t xml:space="preserve">Nearest other town street name</t>
  </si>
  <si>
    <t xml:space="preserve">Nearby landmark</t>
  </si>
  <si>
    <t xml:space="preserve">Status</t>
  </si>
  <si>
    <t xml:space="preserve">Date of visit</t>
  </si>
  <si>
    <t xml:space="preserve">Notes on location</t>
  </si>
  <si>
    <t xml:space="preserve">From 1904 description</t>
  </si>
  <si>
    <t xml:space="preserve">Notes on Monument</t>
  </si>
  <si>
    <t xml:space="preserve">Coordinate Source</t>
  </si>
  <si>
    <t xml:space="preserve">Latitude</t>
  </si>
  <si>
    <t xml:space="preserve">D</t>
  </si>
  <si>
    <t xml:space="preserve">M</t>
  </si>
  <si>
    <t xml:space="preserve">S</t>
  </si>
  <si>
    <t xml:space="preserve">Longitude</t>
  </si>
  <si>
    <t xml:space="preserve">D-</t>
  </si>
  <si>
    <t xml:space="preserve">M-</t>
  </si>
  <si>
    <t xml:space="preserve">S-</t>
  </si>
  <si>
    <t xml:space="preserve">OpenStreetMap link</t>
  </si>
  <si>
    <t xml:space="preserve">Tie-break number</t>
  </si>
  <si>
    <t xml:space="preserve">Order</t>
  </si>
  <si>
    <t xml:space="preserve">Possible Next Steps</t>
  </si>
  <si>
    <t xml:space="preserve">Street Crossing</t>
  </si>
  <si>
    <t xml:space="preserve">X</t>
  </si>
  <si>
    <t xml:space="preserve">Central Street</t>
  </si>
  <si>
    <t xml:space="preserve">Painted</t>
  </si>
  <si>
    <t xml:space="preserve">a few feet from boundary sign, on west side of road</t>
  </si>
  <si>
    <t xml:space="preserve">roadstones on the westerly side of the road between West Acton and the village of New Town</t>
  </si>
  <si>
    <t xml:space="preserve">GIS iPad</t>
  </si>
  <si>
    <t xml:space="preserve">42.495950</t>
  </si>
  <si>
    <t xml:space="preserve">-71.476441</t>
  </si>
  <si>
    <t xml:space="preserve">Littlefield Road</t>
  </si>
  <si>
    <t xml:space="preserve">right next to mailbox south side of road</t>
  </si>
  <si>
    <t xml:space="preserve">on the southerly side of Blanchard street</t>
  </si>
  <si>
    <t xml:space="preserve">Protected by homeowner with plantings and trellis in summer. Went back to paint in the Fall after trellis came down.</t>
  </si>
  <si>
    <t xml:space="preserve">42.492639</t>
  </si>
  <si>
    <t xml:space="preserve">-71.478718</t>
  </si>
  <si>
    <t xml:space="preserve">Mass Ave (Rte 111)</t>
  </si>
  <si>
    <t xml:space="preserve">Not Found</t>
  </si>
  <si>
    <t xml:space="preserve">Searched 10/22 near boundary sign, on both sides of the stream, with no luck. Boxborough also had it missing in 2007.</t>
  </si>
  <si>
    <t xml:space="preserve">on the southerly side of Worcester turnpike</t>
  </si>
  <si>
    <t xml:space="preserve">map estimate</t>
  </si>
  <si>
    <t xml:space="preserve">-71.48856</t>
  </si>
  <si>
    <t xml:space="preserve">See if Mass DOT has records.</t>
  </si>
  <si>
    <t xml:space="preserve">Rte 2</t>
  </si>
  <si>
    <t xml:space="preserve">probably never placed: too close to corner</t>
  </si>
  <si>
    <t xml:space="preserve">no</t>
  </si>
  <si>
    <t xml:space="preserve">-71.47389</t>
  </si>
  <si>
    <t xml:space="preserve">Summer Street</t>
  </si>
  <si>
    <t xml:space="preserve">Summer Rd</t>
  </si>
  <si>
    <t xml:space="preserve">south side, near boundary sign</t>
  </si>
  <si>
    <t xml:space="preserve">on the southerly side of the South Acton road.</t>
  </si>
  <si>
    <t xml:space="preserve">42.473254</t>
  </si>
  <si>
    <t xml:space="preserve">-71.492056</t>
  </si>
  <si>
    <t xml:space="preserve">Corner</t>
  </si>
  <si>
    <t xml:space="preserve">Newtown Road</t>
  </si>
  <si>
    <t xml:space="preserve">Rte 2 Exit 115 (Newtown/Central Street)</t>
  </si>
  <si>
    <t xml:space="preserve">Looked a couple of times, not found yet. Boxborough reports it is missing. Coordinate location is the grassy area between lanes of the exits. Unlikely to have survived the construction of Rte 2.</t>
  </si>
  <si>
    <t xml:space="preserve">..a rough split granite monument, triangular in shape, marked A B L. and situated at a junction of walls, about one-half mile southwest of Fort pond and about 680 feet southeast of the West Acton road</t>
  </si>
  <si>
    <t xml:space="preserve">State</t>
  </si>
  <si>
    <t xml:space="preserve">See if MassDOT has records.</t>
  </si>
  <si>
    <t xml:space="preserve">Ethan Allen Drive</t>
  </si>
  <si>
    <t xml:space="preserve">Watertower at end of Ethan Allen Dr.</t>
  </si>
  <si>
    <t xml:space="preserve">walk up trail from end of Ethan Allen Drive</t>
  </si>
  <si>
    <t xml:space="preserve">an irregularly-shaped field stone marked A B S and situated at an intersection of three walls, in the corner of an open pasture belonging to Mr. Wetherbee, near the brow of Flagg's hill.</t>
  </si>
  <si>
    <t xml:space="preserve">has a dead tree impinging on the monument, removed 9/16/25</t>
  </si>
  <si>
    <t xml:space="preserve">See if Acton, Littleton and Stow want to participate in planning, funding, and implementing a repair of the lean.</t>
  </si>
  <si>
    <t xml:space="preserve">Triangle Farm Road</t>
  </si>
  <si>
    <t xml:space="preserve">Camp Acton</t>
  </si>
  <si>
    <t xml:space="preserve">In woods on red trail connecting Acton and Carlisle conservation lands</t>
  </si>
  <si>
    <t xml:space="preserve">a rough split granite monument marked A C and situated in thick oak and maple woods, opposite a junction of walls</t>
  </si>
  <si>
    <t xml:space="preserve">Carlisle Road</t>
  </si>
  <si>
    <t xml:space="preserve">Acton Street</t>
  </si>
  <si>
    <t xml:space="preserve">right at intersection, north side</t>
  </si>
  <si>
    <t xml:space="preserve">roadstone...northerly side of Acton street [in 1904 this was just called a road marker, but now it's a corner]</t>
  </si>
  <si>
    <t xml:space="preserve">Main Street (Rte 27)</t>
  </si>
  <si>
    <t xml:space="preserve">Acton Road</t>
  </si>
  <si>
    <t xml:space="preserve">10 meters south of Acton/WESTFORD sign, on East side (1904 suggests there might also be one on the west side)</t>
  </si>
  <si>
    <t xml:space="preserve">roadstones on the westerly and easterly sides of the North Acton road</t>
  </si>
  <si>
    <t xml:space="preserve">"Acton: 1996" partially buried and snapped off</t>
  </si>
  <si>
    <t xml:space="preserve">42.526336</t>
  </si>
  <si>
    <t xml:space="preserve">-71.397946</t>
  </si>
  <si>
    <t xml:space="preserve">See if Acton and Carlisle want to cooperate on a fix.</t>
  </si>
  <si>
    <t xml:space="preserve">unknown road</t>
  </si>
  <si>
    <t xml:space="preserve">Documented</t>
  </si>
  <si>
    <t xml:space="preserve">Noted on 11/29/25 from 1904 listing. Haven't looked for it yet: may have access from Ben's Woods.</t>
  </si>
  <si>
    <t xml:space="preserve">linestone between the corner of Acton - Concord- Carlisle and Acton - Carlisle</t>
  </si>
  <si>
    <t xml:space="preserve">Survey at edge of Ben's Woods.</t>
  </si>
  <si>
    <t xml:space="preserve">Witness</t>
  </si>
  <si>
    <t xml:space="preserve">Pope Road Witness Marker</t>
  </si>
  <si>
    <t xml:space="preserve">394 Pope Road</t>
  </si>
  <si>
    <t xml:space="preserve">corner is in house, but the actual bound has been offset to a stone wall: need permission of owner before visiting</t>
  </si>
  <si>
    <t xml:space="preserve">a rough granite monument marked A C C and situated on the easterly slope of a hill covered with savins and ground hemlock, about 125 feet southwest of a wall on the westerly side of the road leading from East Acton to Carlisle</t>
  </si>
  <si>
    <t xml:space="preserve">The Witness Monument is dated 2007. The coordinates shown are for the monument. The actual corner is at 42.50447314, -71.38494746 (state bounds, WGS84).</t>
  </si>
  <si>
    <t xml:space="preserve">Butter Brook Golf Club</t>
  </si>
  <si>
    <t xml:space="preserve">Up an embankment on the west side of Main St. Golf course is visible from marker. Not to be confused with a Carlisle/Westford Main Street (Rte 27) marker that is closer to Rte 27. That marker only has a single Carlisle mark and no others.</t>
  </si>
  <si>
    <t xml:space="preserve">a rough split granite monument marked A W C and situated in a pine grove, about 825 feet southerly from the Carlisle railway station</t>
  </si>
  <si>
    <t xml:space="preserve">Great Road</t>
  </si>
  <si>
    <t xml:space="preserve">Life Care of Acton</t>
  </si>
  <si>
    <t xml:space="preserve">on the northerly side of Elm street, sometimes called the Acton road</t>
  </si>
  <si>
    <t xml:space="preserve">new marker installed by Concord in 2017 with a line on top following the boundary line</t>
  </si>
  <si>
    <t xml:space="preserve">42.473365</t>
  </si>
  <si>
    <t xml:space="preserve">-71.405893</t>
  </si>
  <si>
    <t xml:space="preserve">Keefe Road</t>
  </si>
  <si>
    <t xml:space="preserve">International Collision Center</t>
  </si>
  <si>
    <t xml:space="preserve">Found</t>
  </si>
  <si>
    <t xml:space="preserve">Keefe Road used to go into Concord</t>
  </si>
  <si>
    <t xml:space="preserve">on the northeasterly side of a cross road between the Acton road and Worcester turnpike</t>
  </si>
  <si>
    <t xml:space="preserve">found when too cold to paint</t>
  </si>
  <si>
    <t xml:space="preserve">42.472315</t>
  </si>
  <si>
    <t xml:space="preserve">-71.406597</t>
  </si>
  <si>
    <t xml:space="preserve">Paint the monument.</t>
  </si>
  <si>
    <t xml:space="preserve">Knox Trail</t>
  </si>
  <si>
    <t xml:space="preserve">no road in that location on early 20th century maps: probably never got a monument</t>
  </si>
  <si>
    <t xml:space="preserve">42.442202</t>
  </si>
  <si>
    <t xml:space="preserve">-71.426872</t>
  </si>
  <si>
    <t xml:space="preserve">Tell Concord. It seems they looked on Knox Trail for the 'Parmenter Road'.</t>
  </si>
  <si>
    <t xml:space="preserve">Laws Brook Road</t>
  </si>
  <si>
    <t xml:space="preserve">south side of road, near sign</t>
  </si>
  <si>
    <t xml:space="preserve">on the southerly side of Laws Brook road</t>
  </si>
  <si>
    <t xml:space="preserve">42.459859</t>
  </si>
  <si>
    <t xml:space="preserve">-71.414985</t>
  </si>
  <si>
    <t xml:space="preserve">Old Stow Road</t>
  </si>
  <si>
    <t xml:space="preserve">Old Stow Rd CR, railroad</t>
  </si>
  <si>
    <t xml:space="preserve">Sep 24, 2025 (2)</t>
  </si>
  <si>
    <t xml:space="preserve">old road is now a trail</t>
  </si>
  <si>
    <t xml:space="preserve">on the northerly side of the Parmenter road</t>
  </si>
  <si>
    <t xml:space="preserve">42.456849</t>
  </si>
  <si>
    <t xml:space="preserve">-71.417005</t>
  </si>
  <si>
    <t xml:space="preserve">Pope Road</t>
  </si>
  <si>
    <t xml:space="preserve">380 Pope Road</t>
  </si>
  <si>
    <t xml:space="preserve">roadstones on the easterly side of the road leading to East Acton</t>
  </si>
  <si>
    <t xml:space="preserve">42.503316</t>
  </si>
  <si>
    <t xml:space="preserve">-71.385706</t>
  </si>
  <si>
    <t xml:space="preserve">Powder Mill Road (Rte 62)</t>
  </si>
  <si>
    <t xml:space="preserve">found location marker but no monument, unless it is buried: Concord found it in 2017</t>
  </si>
  <si>
    <t xml:space="preserve">on the northerly side of Main street Concord, called Powder Mills road in Acton.</t>
  </si>
  <si>
    <t xml:space="preserve">42.441875</t>
  </si>
  <si>
    <t xml:space="preserve">-71.427081</t>
  </si>
  <si>
    <t xml:space="preserve">Ask Concord for more details.</t>
  </si>
  <si>
    <t xml:space="preserve">Rail Trail bridge</t>
  </si>
  <si>
    <t xml:space="preserve">a variety of possible markers were located, but none were marked or in right location</t>
  </si>
  <si>
    <t xml:space="preserve">42.469254</t>
  </si>
  <si>
    <t xml:space="preserve">-71.408660</t>
  </si>
  <si>
    <t xml:space="preserve">See if Mass DOT has any records.</t>
  </si>
  <si>
    <t xml:space="preserve">Spencer Brook Road</t>
  </si>
  <si>
    <t xml:space="preserve">close to Pope rd, on north side</t>
  </si>
  <si>
    <t xml:space="preserve">at the junction of the same road [road to East Acton] and a cross road leading to the Lowell road</t>
  </si>
  <si>
    <t xml:space="preserve">42.502313</t>
  </si>
  <si>
    <t xml:space="preserve">-71.386401</t>
  </si>
  <si>
    <t xml:space="preserve">Strawberry Hill Road</t>
  </si>
  <si>
    <t xml:space="preserve">on the northerly side of the Strawberry hill road</t>
  </si>
  <si>
    <t xml:space="preserve">42.491233</t>
  </si>
  <si>
    <t xml:space="preserve">-71.393807</t>
  </si>
  <si>
    <t xml:space="preserve">Old Powder Mill Road </t>
  </si>
  <si>
    <t xml:space="preserve">Acton Senior Center, Maynard/Acton substation</t>
  </si>
  <si>
    <t xml:space="preserve">Jul 24, 2025 (1)</t>
  </si>
  <si>
    <t xml:space="preserve">next to substation</t>
  </si>
  <si>
    <t xml:space="preserve">rough split granite monument marked A C M and situated on the south westerly side of the road leading from South Acton to North Sudbury, back of the American Powder Mill</t>
  </si>
  <si>
    <t xml:space="preserve">It appears that Sudbury wrote their initial and their years on the west side, next to Acton on the north, leaving latecomer Maynard (1871) only the south side to write on, even though Maynard should be between Sudbury and Acton.</t>
  </si>
  <si>
    <t xml:space="preserve">Nashoba Road</t>
  </si>
  <si>
    <t xml:space="preserve">Nagog Pond, North Shore</t>
  </si>
  <si>
    <t xml:space="preserve">Couldn't paint</t>
  </si>
  <si>
    <t xml:space="preserve">next to stone wall near end of Nashoba Road</t>
  </si>
  <si>
    <t xml:space="preserve">corner 1, a rough split granite monument of irregular shape marked A L 1831 and situated at the northerly end of Nagog pond, on the northeasterly side of the road leading from North Acton to Littletown [sic]</t>
  </si>
  <si>
    <t xml:space="preserve">Lying on ground, too difficult to paint, possibly a good candidate for rescue. A note from Andy Curran of Littleton: "The triangle at the road intersection used to have granite marker in it and may have been inscribed with an L and an A. Many of us remember the stone, which disappeared during roadwork, probably sometime in the 1970s. My guess is that the highway department got careless and broke it and dumped it on the ditch, where you found it."</t>
  </si>
  <si>
    <t xml:space="preserve">Work with Littleton on planning, funding, and implementing a repair.</t>
  </si>
  <si>
    <t xml:space="preserve">Nagog Hill Road</t>
  </si>
  <si>
    <t xml:space="preserve">Nagog Pond South Shore</t>
  </si>
  <si>
    <t xml:space="preserve">near bottom of AWD land: roughly follow tree across path near pond uphill</t>
  </si>
  <si>
    <t xml:space="preserve">corner 2, a rough split granite monument of irregular shape marked A L 1831, and situated in heavy maple, oak and chestnut woods, about 288 feet from the southwesterly shore of Nagog pond.</t>
  </si>
  <si>
    <t xml:space="preserve">Countryside Road</t>
  </si>
  <si>
    <t xml:space="preserve">Found town line stone wall, but big missing portion may be where monument was? Or perhaps road is new enough that monument was never placed.</t>
  </si>
  <si>
    <t xml:space="preserve">42.50236</t>
  </si>
  <si>
    <t xml:space="preserve">-71.46624</t>
  </si>
  <si>
    <t xml:space="preserve">Acton to make decision on whether any new monuments will be added.</t>
  </si>
  <si>
    <t xml:space="preserve">Fort Pond Road</t>
  </si>
  <si>
    <t xml:space="preserve">What was found is most likely the westerly of two monuments. The easterly monument would have been much closer to the actual boundary line.</t>
  </si>
  <si>
    <t xml:space="preserve">the easterly and westerly sides of the Cash road</t>
  </si>
  <si>
    <t xml:space="preserve">42.505986</t>
  </si>
  <si>
    <t xml:space="preserve">-71.454487</t>
  </si>
  <si>
    <t xml:space="preserve">maybe never installed because it would have been so close to the Acton/Littleton monument?</t>
  </si>
  <si>
    <t xml:space="preserve">42.52252</t>
  </si>
  <si>
    <t xml:space="preserve">-71.43466</t>
  </si>
  <si>
    <t xml:space="preserve">Lillian Road</t>
  </si>
  <si>
    <t xml:space="preserve">Lillian Rd</t>
  </si>
  <si>
    <t xml:space="preserve">newer road: probably never placed</t>
  </si>
  <si>
    <t xml:space="preserve">42.501133</t>
  </si>
  <si>
    <t xml:space="preserve">-71.470302</t>
  </si>
  <si>
    <t xml:space="preserve">right next to boundary marker</t>
  </si>
  <si>
    <t xml:space="preserve">the southwesterly side of the Nagog hill road</t>
  </si>
  <si>
    <t xml:space="preserve">42.507427</t>
  </si>
  <si>
    <t xml:space="preserve">-71.449538</t>
  </si>
  <si>
    <t xml:space="preserve">42.52215</t>
  </si>
  <si>
    <t xml:space="preserve">-71.43502</t>
  </si>
  <si>
    <t xml:space="preserve">Fort Pond Hill Road</t>
  </si>
  <si>
    <t xml:space="preserve">between Lillian and Bulette Rd</t>
  </si>
  <si>
    <t xml:space="preserve">the southwesterly side of the Fort Pond road.</t>
  </si>
  <si>
    <t xml:space="preserve">42.501417</t>
  </si>
  <si>
    <t xml:space="preserve">-71.469495</t>
  </si>
  <si>
    <t xml:space="preserve">Sarah Indian Way</t>
  </si>
  <si>
    <t xml:space="preserve">Newer road. Did see stone wall town bound, but no marker. May need to find old route of road.</t>
  </si>
  <si>
    <t xml:space="preserve">42.50527</t>
  </si>
  <si>
    <t xml:space="preserve">-71.45672</t>
  </si>
  <si>
    <t xml:space="preserve">Find maps of old path of road, and look near old road crossing. Would have been added after 1904, or may be what the W B marker is pointing to.</t>
  </si>
  <si>
    <t xml:space="preserve">W B Marker on Fort Pond Road</t>
  </si>
  <si>
    <t xml:space="preserve">W B Marker</t>
  </si>
  <si>
    <t xml:space="preserve">W B likely stands for Witness Bound, which were placed when a monument can't be placed at the actual location. There were no paint marks here, so we didn't paiint either.</t>
  </si>
  <si>
    <t xml:space="preserve">42.506201</t>
  </si>
  <si>
    <t xml:space="preserve">-71.454125</t>
  </si>
  <si>
    <t xml:space="preserve">Research on what actual corner this Bound was witnessing.</t>
  </si>
  <si>
    <t xml:space="preserve">Westford Lane</t>
  </si>
  <si>
    <t xml:space="preserve">Durkee Lane</t>
  </si>
  <si>
    <t xml:space="preserve">Bobby's Ranch</t>
  </si>
  <si>
    <t xml:space="preserve">Sep 24, 2025 (1)</t>
  </si>
  <si>
    <t xml:space="preserve">visible from the southeast corner of the fenced in area behind the main barn of Bobby's Ranch</t>
  </si>
  <si>
    <t xml:space="preserve">a rough split granite monument, triangular In shape, marked A L W 1832, and situated in low woodland near an open meadow, about 800 feet northwest of a cart path leading northeasterly from Nagog pond and about 2,500 feet distant from the pond</t>
  </si>
  <si>
    <t xml:space="preserve">Contact owners at Bobby's Ranch before any visit. You need to walk through barn, and electricity to fence needs to be turned off.</t>
  </si>
  <si>
    <t xml:space="preserve">Conant Street</t>
  </si>
  <si>
    <t xml:space="preserve">golf course</t>
  </si>
  <si>
    <t xml:space="preserve">Jul 24, 2025 (2)</t>
  </si>
  <si>
    <t xml:space="preserve">mostly buried</t>
  </si>
  <si>
    <t xml:space="preserve">on the northwesterly side of the Acton road, Maynard</t>
  </si>
  <si>
    <t xml:space="preserve">42.445701</t>
  </si>
  <si>
    <t xml:space="preserve">-71.452587</t>
  </si>
  <si>
    <t xml:space="preserve">Brown Street</t>
  </si>
  <si>
    <t xml:space="preserve">Christmas Motors, Bruce Freeman Rail Trail</t>
  </si>
  <si>
    <t xml:space="preserve">a few feet from Maynard/Acton sign (West side)</t>
  </si>
  <si>
    <t xml:space="preserve">on the westerly side of the South Acton road, near its junction with the Acton road, Maynard</t>
  </si>
  <si>
    <t xml:space="preserve">42.446230</t>
  </si>
  <si>
    <t xml:space="preserve">-71.453932</t>
  </si>
  <si>
    <t xml:space="preserve">Get a picture of the Maynard side of the monument.</t>
  </si>
  <si>
    <t xml:space="preserve">Parker Street</t>
  </si>
  <si>
    <t xml:space="preserve">Concord Street</t>
  </si>
  <si>
    <t xml:space="preserve">Pine Hill Road, golf course</t>
  </si>
  <si>
    <t xml:space="preserve">near boundary marker on north side</t>
  </si>
  <si>
    <t xml:space="preserve">on the northwesterly side of the Parmenter road</t>
  </si>
  <si>
    <t xml:space="preserve">partially buried</t>
  </si>
  <si>
    <t xml:space="preserve">42.442279</t>
  </si>
  <si>
    <t xml:space="preserve">-71.443880</t>
  </si>
  <si>
    <t xml:space="preserve">See if Acton and Maynard want to participate in planning, funding, and implementing a repair of the buried monument.</t>
  </si>
  <si>
    <t xml:space="preserve">Wendy's</t>
  </si>
  <si>
    <t xml:space="preserve">Found location marker but no monument. May need to ask developer (in 1904 on southern side?)</t>
  </si>
  <si>
    <t xml:space="preserve">on the southerly side of the Powder Mills road</t>
  </si>
  <si>
    <t xml:space="preserve">42.43891</t>
  </si>
  <si>
    <t xml:space="preserve">-71.43533</t>
  </si>
  <si>
    <t xml:space="preserve">Ask developer of Rivage, or see if Mass DOT has records.</t>
  </si>
  <si>
    <t xml:space="preserve">Sudbury Road</t>
  </si>
  <si>
    <t xml:space="preserve">Old Powder Mill Road</t>
  </si>
  <si>
    <t xml:space="preserve">on the East side of the road</t>
  </si>
  <si>
    <t xml:space="preserve">roadstones at the junction of the North Sudbury road with a cross road leading to the Great Boston road</t>
  </si>
  <si>
    <t xml:space="preserve">almost entirely buried, so it may not be the monument, but it is in the right location</t>
  </si>
  <si>
    <t xml:space="preserve">42.437148</t>
  </si>
  <si>
    <t xml:space="preserve">-71.430890</t>
  </si>
  <si>
    <t xml:space="preserve">Work with Maynard to verify that this is the monument. May need digging and re-placing.</t>
  </si>
  <si>
    <t xml:space="preserve">Liberty Street</t>
  </si>
  <si>
    <t xml:space="preserve">Red Acre Farm</t>
  </si>
  <si>
    <t xml:space="preserve">Jul 24, 2025 (3)</t>
  </si>
  <si>
    <t xml:space="preserve">Stow report: "Bound #1, Maynard-Stow-Acton corner. 860 ft directly behind house at 333 Red Acre Road. (Dick Perkins). Follow wall until it begins to slope off into swamp. Bound is 100 ft from wall southerly, just at edge of swamp. About 20 ft from large boulder." Dick reports there is a well-worn path on this route.</t>
  </si>
  <si>
    <t xml:space="preserve">a rough split granite monument marked A M and situated in a wooded pasture, about 860 feet south east of the road between South Acton and Stow Lower Village, at a point opposite the house of J. P. Brown in Stow</t>
  </si>
  <si>
    <t xml:space="preserve">Stow report: "Easterly side of Red Acre Road near residence at 341 Red Acre Road. (Nancy &amp; Ronald Plumoff) Low marker next to town line sign."</t>
  </si>
  <si>
    <t xml:space="preserve">roadstones on the southeasterly side of the road between South Acton and Stow Lower Village</t>
  </si>
  <si>
    <t xml:space="preserve">42.451503</t>
  </si>
  <si>
    <t xml:space="preserve">-71.467322</t>
  </si>
  <si>
    <t xml:space="preserve">Stow Street</t>
  </si>
  <si>
    <t xml:space="preserve">South Acton Road</t>
  </si>
  <si>
    <t xml:space="preserve">Lombardo Loam and Gravel</t>
  </si>
  <si>
    <t xml:space="preserve">Stow report: "Northerly side of South Acton Road (Stow Street, Acton) near former Stow town dump" (Fletchers).</t>
  </si>
  <si>
    <t xml:space="preserve">on the northwesterly side of the road between Stow and West Acton</t>
  </si>
  <si>
    <t xml:space="preserve">42.453390</t>
  </si>
  <si>
    <t xml:space="preserve">-71.472116</t>
  </si>
  <si>
    <t xml:space="preserve">Willow Street</t>
  </si>
  <si>
    <t xml:space="preserve">West Acton Road</t>
  </si>
  <si>
    <t xml:space="preserve">Stow report: "Northerly side of West Acton Road (Willow St., Acton) east of Canterbury Road"</t>
  </si>
  <si>
    <t xml:space="preserve">on the northwesterly side of the road leading to Warren Hill</t>
  </si>
  <si>
    <t xml:space="preserve">42.459692</t>
  </si>
  <si>
    <t xml:space="preserve">-71.488141</t>
  </si>
  <si>
    <t xml:space="preserve">Avalon Drive</t>
  </si>
  <si>
    <t xml:space="preserve">Avalon</t>
  </si>
  <si>
    <t xml:space="preserve">Not found. There was a huge embankment there. Developers of Avalon apartments had it on their pre-development plan.</t>
  </si>
  <si>
    <t xml:space="preserve">a rough split granite monument marked AW and situated on the northerly slope of a hill, about 3,000 feet northeast of Nagog pond</t>
  </si>
  <si>
    <t xml:space="preserve">Contact Avalon developers.</t>
  </si>
  <si>
    <t xml:space="preserve">Bay Drive (East)</t>
  </si>
  <si>
    <t xml:space="preserve">Are these public ways? May not be required.</t>
  </si>
  <si>
    <t xml:space="preserve">42.526254</t>
  </si>
  <si>
    <t xml:space="preserve">-71.423557</t>
  </si>
  <si>
    <t xml:space="preserve">Bay Drive (West)</t>
  </si>
  <si>
    <t xml:space="preserve">42.527055</t>
  </si>
  <si>
    <t xml:space="preserve">-71.425394</t>
  </si>
  <si>
    <t xml:space="preserve">Bear Hill Road (in 1904)</t>
  </si>
  <si>
    <t xml:space="preserve">haven't located Bear Hill Road on old maps, but there is a Bear Hill in Westford</t>
  </si>
  <si>
    <t xml:space="preserve">roadstone on the northeasterly side of Bear Hill road</t>
  </si>
  <si>
    <t xml:space="preserve">looked where a private road crosses the boundary (but no bounds were found there): these coordinates are where that road crosses the border</t>
  </si>
  <si>
    <t xml:space="preserve">map estimate </t>
  </si>
  <si>
    <t xml:space="preserve">42.530845</t>
  </si>
  <si>
    <t xml:space="preserve">-71.409332</t>
  </si>
  <si>
    <t xml:space="preserve">Survey the rest of that stretch. Or look for more old maps that might have Bear Hill Road. Or ask landowners at the old road if they remember hearing of a marker.</t>
  </si>
  <si>
    <t xml:space="preserve">x</t>
  </si>
  <si>
    <t xml:space="preserve">Don't know where this 1904 location is. Could it have been today's "Westford Lane?"</t>
  </si>
  <si>
    <t xml:space="preserve">linestone known as Cat Head Rock between Acton - Westford 1 and the corner of Acton - Littleton - Westford</t>
  </si>
  <si>
    <t xml:space="preserve">Walk between ALW and AW1 looking for possible Bear Hill road.</t>
  </si>
  <si>
    <t xml:space="preserve">Where Westford Lane gets to Westford. There is a corner behind a fence with many stones. Might be in there?</t>
  </si>
  <si>
    <t xml:space="preserve">no, unless this is the same as Cat Head Rock from 1904</t>
  </si>
  <si>
    <t xml:space="preserve">42.527574</t>
  </si>
  <si>
    <t xml:space="preserve">-71.426329</t>
  </si>
  <si>
    <t xml:space="preserve">Ask owner of land behind fence if the monument might be there.</t>
  </si>
  <si>
    <t xml:space="preserve">First Names</t>
  </si>
  <si>
    <t xml:space="preserve">Last Names</t>
  </si>
  <si>
    <t xml:space="preserve">Affiliation</t>
  </si>
  <si>
    <t xml:space="preserve">Only for Town</t>
  </si>
  <si>
    <t xml:space="preserve">Jun 2, 2025</t>
  </si>
  <si>
    <t xml:space="preserve">Jun 30, 2025</t>
  </si>
  <si>
    <t xml:space="preserve">Sep 16, 2025</t>
  </si>
  <si>
    <t xml:space="preserve">Nov 6, 2025</t>
  </si>
  <si>
    <t xml:space="preserve">Nov 28, 2025</t>
  </si>
  <si>
    <t xml:space="preserve">Jul 18, 2026</t>
  </si>
  <si>
    <t xml:space="preserve">Jim</t>
  </si>
  <si>
    <t xml:space="preserve">Snyder-Grant</t>
  </si>
  <si>
    <t xml:space="preserve">Acton Select Board</t>
  </si>
  <si>
    <t xml:space="preserve">attended</t>
  </si>
  <si>
    <t xml:space="preserve">host</t>
  </si>
  <si>
    <t xml:space="preserve">Dean</t>
  </si>
  <si>
    <t xml:space="preserve">Charter</t>
  </si>
  <si>
    <t xml:space="preserve">Janet</t>
  </si>
  <si>
    <t xml:space="preserve">Adachi</t>
  </si>
  <si>
    <t xml:space="preserve">Acton Resident</t>
  </si>
  <si>
    <t xml:space="preserve">declined</t>
  </si>
  <si>
    <t xml:space="preserve">accepted</t>
  </si>
  <si>
    <t xml:space="preserve">invited</t>
  </si>
  <si>
    <t xml:space="preserve">Rob</t>
  </si>
  <si>
    <t xml:space="preserve">Gogan</t>
  </si>
  <si>
    <t xml:space="preserve">Acton Exchange</t>
  </si>
  <si>
    <t xml:space="preserve">Joe</t>
  </si>
  <si>
    <t xml:space="preserve">Cooney</t>
  </si>
  <si>
    <t xml:space="preserve">Acton Conservation Trust</t>
  </si>
  <si>
    <t xml:space="preserve">Andy</t>
  </si>
  <si>
    <t xml:space="preserve">Curran</t>
  </si>
  <si>
    <t xml:space="preserve">Littleton Historical Society</t>
  </si>
  <si>
    <t xml:space="preserve">Linda</t>
  </si>
  <si>
    <t xml:space="preserve">Stein</t>
  </si>
  <si>
    <t xml:space="preserve"> </t>
  </si>
  <si>
    <t xml:space="preserve">Mark</t>
  </si>
  <si>
    <t xml:space="preserve">Rambacher</t>
  </si>
  <si>
    <t xml:space="preserve">Littleton Select Board</t>
  </si>
  <si>
    <t xml:space="preserve">Kim</t>
  </si>
  <si>
    <t xml:space="preserve">Kastens</t>
  </si>
  <si>
    <t xml:space="preserve">Attended</t>
  </si>
  <si>
    <t xml:space="preserve">Declined</t>
  </si>
  <si>
    <t xml:space="preserve">Gregory</t>
  </si>
  <si>
    <t xml:space="preserve">Johnson</t>
  </si>
  <si>
    <t xml:space="preserve">Maynard </t>
  </si>
  <si>
    <t xml:space="preserve">Jeffrey</t>
  </si>
  <si>
    <t xml:space="preserve">Swanberg</t>
  </si>
  <si>
    <t xml:space="preserve">Mike</t>
  </si>
  <si>
    <t xml:space="preserve">Stevens</t>
  </si>
  <si>
    <t xml:space="preserve">Lindsay</t>
  </si>
  <si>
    <t xml:space="preserve">McConchie</t>
  </si>
  <si>
    <t xml:space="preserve">QinRui</t>
  </si>
  <si>
    <t xml:space="preserve">Pang</t>
  </si>
  <si>
    <t xml:space="preserve">DPW Director</t>
  </si>
  <si>
    <t xml:space="preserve">Phil</t>
  </si>
  <si>
    <t xml:space="preserve">Salamon</t>
  </si>
  <si>
    <t xml:space="preserve">Town Engineer</t>
  </si>
  <si>
    <t xml:space="preserve">JT</t>
  </si>
  <si>
    <t xml:space="preserve">Toole</t>
  </si>
  <si>
    <t xml:space="preserve">Megan</t>
  </si>
  <si>
    <t xml:space="preserve"> Birch-McMichael</t>
  </si>
  <si>
    <t xml:space="preserve">Ingeborg Hegemann</t>
  </si>
  <si>
    <t xml:space="preserve">Clark</t>
  </si>
  <si>
    <t xml:space="preserve">Hector</t>
  </si>
  <si>
    <t xml:space="preserve">Constanzos</t>
  </si>
  <si>
    <t xml:space="preserve">Greg</t>
  </si>
  <si>
    <t xml:space="preserve">Troxel</t>
  </si>
  <si>
    <t xml:space="preserve">various</t>
  </si>
  <si>
    <t xml:space="preserve">Kristin</t>
  </si>
  <si>
    <t xml:space="preserve">Hilberg</t>
  </si>
  <si>
    <t xml:space="preserve">Kristen</t>
  </si>
  <si>
    <t xml:space="preserve">Las</t>
  </si>
  <si>
    <t xml:space="preserve">Jeremy</t>
  </si>
  <si>
    <t xml:space="preserve">Downs</t>
  </si>
  <si>
    <t xml:space="preserve">Paul</t>
  </si>
  <si>
    <t xml:space="preserve">Starratt</t>
  </si>
  <si>
    <t xml:space="preserve">Richard</t>
  </si>
  <si>
    <t xml:space="preserve">Perkins</t>
  </si>
  <si>
    <t xml:space="preserve">Land Owner</t>
  </si>
  <si>
    <t xml:space="preserve">Acton/Boxborough/Littleton</t>
  </si>
  <si>
    <t xml:space="preserve">Acton/Boxborough/Stow</t>
  </si>
  <si>
    <t xml:space="preserve">Acton/Carlisle 1</t>
  </si>
  <si>
    <t xml:space="preserve">Acton/Carlisle 2</t>
  </si>
  <si>
    <t xml:space="preserve">Acton/Carlisle/Concord</t>
  </si>
  <si>
    <t xml:space="preserve">Acton/Carlisle/Westford</t>
  </si>
  <si>
    <t xml:space="preserve">Acton/Concord/Maynard/Sudbury</t>
  </si>
  <si>
    <t xml:space="preserve">Acton/Littleton 1</t>
  </si>
  <si>
    <t xml:space="preserve">Acton/Littleton 2</t>
  </si>
  <si>
    <t xml:space="preserve">Acton/Littleton/Westford</t>
  </si>
  <si>
    <t xml:space="preserve">Acton/Maynard/Stow</t>
  </si>
  <si>
    <t xml:space="preserve">Acton/Westford</t>
  </si>
</sst>
</file>

<file path=xl/styles.xml><?xml version="1.0" encoding="utf-8"?>
<styleSheet xmlns="http://schemas.openxmlformats.org/spreadsheetml/2006/main">
  <numFmts count="6">
    <numFmt numFmtId="164" formatCode="General"/>
    <numFmt numFmtId="165" formatCode="mmm\ d&quot;, &quot;yyyy"/>
    <numFmt numFmtId="166" formatCode="@"/>
    <numFmt numFmtId="167" formatCode="0"/>
    <numFmt numFmtId="168" formatCode="0.00"/>
    <numFmt numFmtId="169" formatCode="0.000000000"/>
  </numFmts>
  <fonts count="11">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0"/>
      <color theme="1"/>
      <name val="Arial"/>
      <family val="0"/>
      <charset val="1"/>
    </font>
    <font>
      <b val="true"/>
      <sz val="11"/>
      <color theme="1"/>
      <name val="Arial"/>
      <family val="0"/>
      <charset val="1"/>
    </font>
    <font>
      <sz val="11"/>
      <color rgb="FF000000"/>
      <name val="Arial"/>
      <family val="0"/>
      <charset val="1"/>
    </font>
    <font>
      <u val="single"/>
      <sz val="11"/>
      <color rgb="FF0000FF"/>
      <name val="Cambria"/>
      <family val="0"/>
      <charset val="1"/>
    </font>
    <font>
      <sz val="12"/>
      <color rgb="FF333333"/>
      <name val="Arial"/>
      <family val="0"/>
      <charset val="1"/>
    </font>
    <font>
      <sz val="10"/>
      <color theme="1"/>
      <name val="Arial"/>
      <family val="0"/>
      <charset val="1"/>
    </font>
  </fonts>
  <fills count="4">
    <fill>
      <patternFill patternType="none"/>
    </fill>
    <fill>
      <patternFill patternType="gray125"/>
    </fill>
    <fill>
      <patternFill patternType="solid">
        <fgColor rgb="FFFFFFFF"/>
        <bgColor rgb="FFF6F8F9"/>
      </patternFill>
    </fill>
    <fill>
      <patternFill patternType="solid">
        <fgColor rgb="FFF6F8F9"/>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18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8" fontId="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9" fontId="4" fillId="0"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tru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tru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5" fontId="6" fillId="0" borderId="0" xfId="0" applyFont="true" applyBorder="false" applyAlignment="true" applyProtection="true">
      <alignment horizontal="left" vertical="center" textRotation="0" wrapText="true" indent="0" shrinkToFit="false"/>
      <protection locked="true" hidden="false"/>
    </xf>
    <xf numFmtId="166" fontId="6" fillId="0" borderId="0" xfId="0" applyFont="true" applyBorder="fals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true" indent="0" shrinkToFit="false"/>
      <protection locked="true" hidden="false"/>
    </xf>
    <xf numFmtId="164" fontId="4" fillId="3" borderId="1" xfId="0" applyFont="true" applyBorder="true" applyAlignment="true" applyProtection="true">
      <alignment horizontal="general" vertical="top" textRotation="0" wrapText="false" indent="0" shrinkToFit="false"/>
      <protection locked="true" hidden="false"/>
    </xf>
    <xf numFmtId="164" fontId="4" fillId="3" borderId="1" xfId="0" applyFont="true" applyBorder="true" applyAlignment="true" applyProtection="true">
      <alignment horizontal="center" vertical="top"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top"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6F8F9"/>
          <bgColor rgb="FF000000"/>
        </patternFill>
      </fill>
    </dxf>
    <dxf>
      <fill>
        <patternFill patternType="solid">
          <fgColor rgb="FFFFFFFF"/>
          <bgColor rgb="FF000000"/>
        </patternFill>
      </fill>
    </dxf>
    <dxf>
      <border diagonalUp="false" diagonalDown="false">
        <left style="thin">
          <color rgb="FF356854"/>
        </left>
        <right style="thin">
          <color rgb="FF356854"/>
        </right>
        <top style="thin">
          <color rgb="FF356854"/>
        </top>
        <bottom style="thin">
          <color rgb="FF356854"/>
        </bottom>
        <diagonal/>
      </border>
    </dxf>
    <dxf>
      <fill>
        <patternFill>
          <bgColor rgb="FFFFFFFF"/>
        </patternFill>
      </fill>
    </dxf>
    <dxf>
      <fill>
        <patternFill>
          <bgColor rgb="FFF6F8F9"/>
        </patternFill>
      </fill>
    </dxf>
    <dxf>
      <fill>
        <patternFill>
          <bgColor rgb="FF356854"/>
        </patternFill>
      </fill>
    </dxf>
  </dxfs>
  <tableStyles count="1">
    <tableStyle count="4" name="Contacts-style">
      <tableStyleElement dxfId="4" type="wholeTable"/>
      <tableStyleElement dxfId="5" type="firstRowStripe"/>
      <tableStyleElement dxfId="6" type="secondRowStripe"/>
      <tableStyleElement dxfId="7" type="header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5685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sheetMetadata" Target="metadata.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WhoWhen" displayName="WhoWhen" ref="A3:O30" headerRowCount="1" totalsRowCount="0" totalsRowShown="0">
  <tableColumns count="15">
    <tableColumn id="1" name="First Names"/>
    <tableColumn id="2" name="Last Names"/>
    <tableColumn id="3" name="Affiliation"/>
    <tableColumn id="4" name="Only for Town"/>
    <tableColumn id="5" name="Jun 2, 2025"/>
    <tableColumn id="6" name="Jun 30, 2025"/>
    <tableColumn id="7" name="Jul 24, 2025 (1)"/>
    <tableColumn id="8" name="Jul 24, 2025 (2)"/>
    <tableColumn id="9" name="Jul 24, 2025 (3)"/>
    <tableColumn id="10" name="Sep 16, 2025"/>
    <tableColumn id="11" name="Sep 24, 2025 (1)"/>
    <tableColumn id="12" name="Sep 24, 2025 (2)"/>
    <tableColumn id="13" name="Nov 6, 2025"/>
    <tableColumn id="14" name="Nov 28, 2025"/>
    <tableColumn id="15" name="Jul 18, 2026"/>
  </tableColumns>
  <tableStyleInfo name="Contact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12.6328125" defaultRowHeight="15.75" customHeight="true" zeroHeight="false" outlineLevelRow="0" outlineLevelCol="0"/>
  <cols>
    <col collapsed="false" customWidth="true" hidden="false" outlineLevel="0" max="1" min="1" style="1" width="20.75"/>
    <col collapsed="false" customWidth="true" hidden="false" outlineLevel="0" max="11" min="3" style="1" width="4.5"/>
  </cols>
  <sheetData>
    <row r="1" customFormat="false" ht="58.95" hidden="false" customHeight="false" outlineLevel="0" collapsed="false">
      <c r="B1" s="2" t="s">
        <v>0</v>
      </c>
      <c r="C1" s="3" t="s">
        <v>1</v>
      </c>
      <c r="D1" s="3" t="s">
        <v>2</v>
      </c>
      <c r="E1" s="3" t="s">
        <v>3</v>
      </c>
      <c r="F1" s="3" t="s">
        <v>4</v>
      </c>
      <c r="G1" s="3" t="s">
        <v>5</v>
      </c>
      <c r="H1" s="3" t="s">
        <v>6</v>
      </c>
      <c r="I1" s="3" t="s">
        <v>7</v>
      </c>
      <c r="J1" s="3" t="s">
        <v>8</v>
      </c>
      <c r="K1" s="4" t="s">
        <v>9</v>
      </c>
    </row>
    <row r="2" customFormat="false" ht="26.85" hidden="false" customHeight="false" outlineLevel="0" collapsed="false">
      <c r="B2" s="2" t="str" cm="1">
        <f aca="true" t="array" ref="B2:B6" ca="1">_xlfn._xlws.SORT(_xlfn.UNIQUE(Monuments!N2:N52))</f>
        <v>Couldn't paint</v>
      </c>
      <c r="C2" s="2" t="n">
        <f aca="false">COUNTIFS(Monuments!$N$2:$N$52,$B2,Monuments!C$2:C$52,"X")</f>
        <v>0</v>
      </c>
      <c r="D2" s="2" t="n">
        <f aca="false">COUNTIFS(Monuments!$N$2:$N$52,$B2,Monuments!D$2:D$52,"X")</f>
        <v>1</v>
      </c>
      <c r="E2" s="2" t="n">
        <f aca="false">COUNTIFS(Monuments!$N$2:$N$52,$B2,Monuments!E$2:E$52,"X")</f>
        <v>0</v>
      </c>
      <c r="F2" s="2" t="n">
        <f aca="false">COUNTIFS(Monuments!$N$2:$N$52,$B2,Monuments!F$2:F$52,"X")</f>
        <v>0</v>
      </c>
      <c r="G2" s="2" t="n">
        <f aca="false">COUNTIFS(Monuments!$N$2:$N$52,$B2,Monuments!G$2:G$52,"X")</f>
        <v>0</v>
      </c>
      <c r="H2" s="2" t="n">
        <f aca="false">COUNTIFS(Monuments!$N$2:$N$52,$B2,Monuments!H$2:H$52,"X")</f>
        <v>0</v>
      </c>
      <c r="I2" s="2" t="n">
        <f aca="false">COUNTIFS(Monuments!$N$2:$N$52,$B2,Monuments!I$2:I$52,"X")</f>
        <v>0</v>
      </c>
      <c r="J2" s="2" t="n">
        <f aca="false">COUNTIFS(Monuments!$N$2:$N$52,$B2,Monuments!J$2:J$52,"X")</f>
        <v>0</v>
      </c>
      <c r="K2" s="2" t="n">
        <f aca="false">COUNTIF(Monuments!N$2:N$52,B2)</f>
        <v>1</v>
      </c>
    </row>
    <row r="3" customFormat="false" ht="15.75" hidden="false" customHeight="false" outlineLevel="0" collapsed="false">
      <c r="B3" s="2" t="str">
        <v>Documented</v>
      </c>
      <c r="C3" s="2" t="n">
        <f aca="false">COUNTIFS(Monuments!$N$2:$N$52,$B3,Monuments!C$2:C$52,"X")</f>
        <v>0</v>
      </c>
      <c r="D3" s="2" t="n">
        <f aca="false">COUNTIFS(Monuments!$N$2:$N$52,$B3,Monuments!D$2:D$52,"X")</f>
        <v>0</v>
      </c>
      <c r="E3" s="2" t="n">
        <f aca="false">COUNTIFS(Monuments!$N$2:$N$52,$B3,Monuments!E$2:E$52,"X")</f>
        <v>2</v>
      </c>
      <c r="F3" s="2" t="n">
        <f aca="false">COUNTIFS(Monuments!$N$2:$N$52,$B3,Monuments!F$2:F$52,"X")</f>
        <v>1</v>
      </c>
      <c r="G3" s="2" t="n">
        <f aca="false">COUNTIFS(Monuments!$N$2:$N$52,$B3,Monuments!G$2:G$52,"X")</f>
        <v>0</v>
      </c>
      <c r="H3" s="2" t="n">
        <f aca="false">COUNTIFS(Monuments!$N$2:$N$52,$B3,Monuments!H$2:H$52,"X")</f>
        <v>0</v>
      </c>
      <c r="I3" s="2" t="n">
        <f aca="false">COUNTIFS(Monuments!$N$2:$N$52,$B3,Monuments!I$2:I$52,"X")</f>
        <v>1</v>
      </c>
      <c r="J3" s="2" t="n">
        <f aca="false">COUNTIFS(Monuments!$N$2:$N$52,$B3,Monuments!J$2:J$52,"X")</f>
        <v>0</v>
      </c>
      <c r="K3" s="2" t="n">
        <f aca="false">COUNTIF(Monuments!N$2:N$52,B3)</f>
        <v>4</v>
      </c>
    </row>
    <row r="4" customFormat="false" ht="15.75" hidden="false" customHeight="false" outlineLevel="0" collapsed="false">
      <c r="B4" s="2" t="str">
        <v>Found</v>
      </c>
      <c r="C4" s="2" t="n">
        <f aca="false">COUNTIFS(Monuments!$N$2:$N$52,$B4,Monuments!C$2:C$52,"X")</f>
        <v>0</v>
      </c>
      <c r="D4" s="2" t="n">
        <f aca="false">COUNTIFS(Monuments!$N$2:$N$52,$B4,Monuments!D$2:D$52,"X")</f>
        <v>1</v>
      </c>
      <c r="E4" s="2" t="n">
        <f aca="false">COUNTIFS(Monuments!$N$2:$N$52,$B4,Monuments!E$2:E$52,"X")</f>
        <v>0</v>
      </c>
      <c r="F4" s="2" t="n">
        <f aca="false">COUNTIFS(Monuments!$N$2:$N$52,$B4,Monuments!F$2:F$52,"X")</f>
        <v>0</v>
      </c>
      <c r="G4" s="2" t="n">
        <f aca="false">COUNTIFS(Monuments!$N$2:$N$52,$B4,Monuments!G$2:G$52,"X")</f>
        <v>1</v>
      </c>
      <c r="H4" s="2" t="n">
        <f aca="false">COUNTIFS(Monuments!$N$2:$N$52,$B4,Monuments!H$2:H$52,"X")</f>
        <v>0</v>
      </c>
      <c r="I4" s="2" t="n">
        <f aca="false">COUNTIFS(Monuments!$N$2:$N$52,$B4,Monuments!I$2:I$52,"X")</f>
        <v>1</v>
      </c>
      <c r="J4" s="2" t="n">
        <f aca="false">COUNTIFS(Monuments!$N$2:$N$52,$B4,Monuments!J$2:J$52,"X")</f>
        <v>0</v>
      </c>
      <c r="K4" s="2" t="n">
        <f aca="false">COUNTIF(Monuments!N$2:N$52,B4)</f>
        <v>3</v>
      </c>
    </row>
    <row r="5" customFormat="false" ht="15.75" hidden="false" customHeight="false" outlineLevel="0" collapsed="false">
      <c r="B5" s="2" t="str">
        <v>Not Found</v>
      </c>
      <c r="C5" s="2" t="n">
        <f aca="false">COUNTIFS(Monuments!$N$2:$N$52,$B5,Monuments!C$2:C$52,"X")</f>
        <v>3</v>
      </c>
      <c r="D5" s="2" t="n">
        <f aca="false">COUNTIFS(Monuments!$N$2:$N$52,$B5,Monuments!D$2:D$52,"X")</f>
        <v>6</v>
      </c>
      <c r="E5" s="2" t="n">
        <f aca="false">COUNTIFS(Monuments!$N$2:$N$52,$B5,Monuments!E$2:E$52,"X")</f>
        <v>4</v>
      </c>
      <c r="F5" s="2" t="n">
        <f aca="false">COUNTIFS(Monuments!$N$2:$N$52,$B5,Monuments!F$2:F$52,"X")</f>
        <v>0</v>
      </c>
      <c r="G5" s="2" t="n">
        <f aca="false">COUNTIFS(Monuments!$N$2:$N$52,$B5,Monuments!G$2:G$52,"X")</f>
        <v>3</v>
      </c>
      <c r="H5" s="2" t="n">
        <f aca="false">COUNTIFS(Monuments!$N$2:$N$52,$B5,Monuments!H$2:H$52,"X")</f>
        <v>0</v>
      </c>
      <c r="I5" s="2" t="n">
        <f aca="false">COUNTIFS(Monuments!$N$2:$N$52,$B5,Monuments!I$2:I$52,"X")</f>
        <v>0</v>
      </c>
      <c r="J5" s="2" t="n">
        <f aca="false">COUNTIFS(Monuments!$N$2:$N$52,$B5,Monuments!J$2:J$52,"X")</f>
        <v>0</v>
      </c>
      <c r="K5" s="2" t="n">
        <f aca="false">COUNTIF(Monuments!N$2:N$52,B5)</f>
        <v>15</v>
      </c>
    </row>
    <row r="6" customFormat="false" ht="15.75" hidden="false" customHeight="false" outlineLevel="0" collapsed="false">
      <c r="B6" s="2" t="str">
        <v>Painted</v>
      </c>
      <c r="C6" s="2" t="n">
        <f aca="false">COUNTIFS(Monuments!$N$2:$N$52,$B6,Monuments!C$2:C$52,"X")</f>
        <v>4</v>
      </c>
      <c r="D6" s="2" t="n">
        <f aca="false">COUNTIFS(Monuments!$N$2:$N$52,$B6,Monuments!D$2:D$52,"X")</f>
        <v>5</v>
      </c>
      <c r="E6" s="2" t="n">
        <f aca="false">COUNTIFS(Monuments!$N$2:$N$52,$B6,Monuments!E$2:E$52,"X")</f>
        <v>2</v>
      </c>
      <c r="F6" s="2" t="n">
        <f aca="false">COUNTIFS(Monuments!$N$2:$N$52,$B6,Monuments!F$2:F$52,"X")</f>
        <v>5</v>
      </c>
      <c r="G6" s="2" t="n">
        <f aca="false">COUNTIFS(Monuments!$N$2:$N$52,$B6,Monuments!G$2:G$52,"X")</f>
        <v>8</v>
      </c>
      <c r="H6" s="2" t="n">
        <f aca="false">COUNTIFS(Monuments!$N$2:$N$52,$B6,Monuments!H$2:H$52,"X")</f>
        <v>1</v>
      </c>
      <c r="I6" s="2" t="n">
        <f aca="false">COUNTIFS(Monuments!$N$2:$N$52,$B6,Monuments!I$2:I$52,"X")</f>
        <v>5</v>
      </c>
      <c r="J6" s="2" t="n">
        <f aca="false">COUNTIFS(Monuments!$N$2:$N$52,$B6,Monuments!J$2:J$52,"X")</f>
        <v>5</v>
      </c>
      <c r="K6" s="2" t="n">
        <f aca="false">COUNTIF(Monuments!N$2:N$52,B6)</f>
        <v>28</v>
      </c>
    </row>
    <row r="7" customFormat="false" ht="15.75" hidden="false" customHeight="false" outlineLevel="0" collapsed="false">
      <c r="C7" s="2"/>
      <c r="D7" s="2"/>
      <c r="E7" s="2"/>
      <c r="F7" s="2"/>
      <c r="G7" s="2"/>
      <c r="H7" s="2"/>
      <c r="I7" s="2"/>
      <c r="J7" s="2"/>
      <c r="K7" s="2"/>
    </row>
    <row r="8" customFormat="false" ht="15.75" hidden="false" customHeight="false" outlineLevel="0" collapsed="false">
      <c r="B8" s="4" t="s">
        <v>10</v>
      </c>
      <c r="C8" s="4" t="n">
        <f aca="false">SUM(C2:C7)</f>
        <v>7</v>
      </c>
      <c r="D8" s="4" t="n">
        <f aca="false">SUM(D2:D7)</f>
        <v>13</v>
      </c>
      <c r="E8" s="4" t="n">
        <f aca="false">SUM(E2:E7)</f>
        <v>8</v>
      </c>
      <c r="F8" s="4" t="n">
        <f aca="false">SUM(F2:F7)</f>
        <v>6</v>
      </c>
      <c r="G8" s="4" t="n">
        <f aca="false">SUM(G2:G7)</f>
        <v>12</v>
      </c>
      <c r="H8" s="4" t="n">
        <f aca="false">SUM(H2:H7)</f>
        <v>1</v>
      </c>
      <c r="I8" s="4" t="n">
        <f aca="false">SUM(I2:I7)</f>
        <v>7</v>
      </c>
      <c r="J8" s="4" t="n">
        <f aca="false">SUM(J2:J7)</f>
        <v>5</v>
      </c>
      <c r="K8" s="2" t="n">
        <f aca="false">SUM(C8:J8)</f>
        <v>59</v>
      </c>
    </row>
    <row r="11" customFormat="false" ht="15.75" hidden="false" customHeight="false" outlineLevel="0" collapsed="false">
      <c r="A11" s="5" t="s">
        <v>11</v>
      </c>
      <c r="B11" s="4" t="s">
        <v>12</v>
      </c>
    </row>
    <row r="12" customFormat="false" ht="15.75" hidden="false" customHeight="false" outlineLevel="0" collapsed="false">
      <c r="A12" s="5" t="s">
        <v>13</v>
      </c>
      <c r="B12" s="4" t="s">
        <v>14</v>
      </c>
    </row>
    <row r="13" customFormat="false" ht="15.75" hidden="false" customHeight="false" outlineLevel="0" collapsed="false">
      <c r="A13" s="5" t="s">
        <v>15</v>
      </c>
      <c r="B13" s="4" t="s">
        <v>16</v>
      </c>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AE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C1" activeCellId="0" sqref="AC1"/>
    </sheetView>
  </sheetViews>
  <sheetFormatPr defaultColWidth="12.6328125" defaultRowHeight="15.75" customHeight="true" zeroHeight="false" outlineLevelRow="0" outlineLevelCol="0"/>
  <cols>
    <col collapsed="false" customWidth="true" hidden="false" outlineLevel="0" max="1" min="1" style="1" width="27.25"/>
    <col collapsed="false" customWidth="true" hidden="false" outlineLevel="0" max="2" min="2" style="6" width="11.63"/>
    <col collapsed="false" customWidth="true" hidden="false" outlineLevel="0" max="10" min="3" style="1" width="2.5"/>
    <col collapsed="false" customWidth="true" hidden="false" outlineLevel="0" max="13" min="11" style="1" width="13.13"/>
    <col collapsed="false" customWidth="true" hidden="false" outlineLevel="0" max="15" min="15" style="1" width="13.88"/>
    <col collapsed="false" customWidth="true" hidden="false" outlineLevel="0" max="16" min="16" style="1" width="22.25"/>
    <col collapsed="false" customWidth="true" hidden="false" outlineLevel="0" max="17" min="17" style="1" width="30.25"/>
    <col collapsed="false" customWidth="true" hidden="false" outlineLevel="0" max="18" min="18" style="1" width="17.63"/>
    <col collapsed="false" customWidth="true" hidden="false" outlineLevel="0" max="19" min="19" style="1" width="14.74"/>
    <col collapsed="false" customWidth="true" hidden="false" outlineLevel="0" max="20" min="20" style="1" width="11.63"/>
    <col collapsed="false" customWidth="true" hidden="false" outlineLevel="0" max="22" min="21" style="1" width="3.5"/>
    <col collapsed="false" customWidth="true" hidden="false" outlineLevel="0" max="23" min="23" style="1" width="7.23"/>
    <col collapsed="false" customWidth="true" hidden="false" outlineLevel="0" max="24" min="24" style="1" width="11.63"/>
    <col collapsed="false" customWidth="true" hidden="false" outlineLevel="0" max="25" min="25" style="1" width="3.63"/>
    <col collapsed="false" customWidth="true" hidden="false" outlineLevel="0" max="26" min="26" style="1" width="3.38"/>
    <col collapsed="false" customWidth="true" hidden="false" outlineLevel="0" max="27" min="27" style="1" width="7.09"/>
    <col collapsed="false" customWidth="true" hidden="false" outlineLevel="0" max="28" min="28" style="1" width="17.13"/>
    <col collapsed="false" customWidth="true" hidden="false" outlineLevel="0" max="30" min="30" style="1" width="11.63"/>
  </cols>
  <sheetData>
    <row r="1" customFormat="false" ht="65.25" hidden="false" customHeight="true" outlineLevel="0" collapsed="false">
      <c r="A1" s="7" t="s">
        <v>17</v>
      </c>
      <c r="B1" s="7" t="s">
        <v>18</v>
      </c>
      <c r="C1" s="3" t="s">
        <v>1</v>
      </c>
      <c r="D1" s="3" t="s">
        <v>2</v>
      </c>
      <c r="E1" s="3" t="s">
        <v>3</v>
      </c>
      <c r="F1" s="3" t="s">
        <v>4</v>
      </c>
      <c r="G1" s="3" t="s">
        <v>5</v>
      </c>
      <c r="H1" s="3" t="s">
        <v>6</v>
      </c>
      <c r="I1" s="3" t="s">
        <v>7</v>
      </c>
      <c r="J1" s="3" t="s">
        <v>8</v>
      </c>
      <c r="K1" s="7" t="s">
        <v>19</v>
      </c>
      <c r="L1" s="7" t="s">
        <v>20</v>
      </c>
      <c r="M1" s="7" t="s">
        <v>21</v>
      </c>
      <c r="N1" s="7" t="s">
        <v>22</v>
      </c>
      <c r="O1" s="8" t="s">
        <v>23</v>
      </c>
      <c r="P1" s="7" t="s">
        <v>24</v>
      </c>
      <c r="Q1" s="7" t="s">
        <v>25</v>
      </c>
      <c r="R1" s="7" t="s">
        <v>26</v>
      </c>
      <c r="S1" s="7" t="s">
        <v>27</v>
      </c>
      <c r="T1" s="9" t="s">
        <v>28</v>
      </c>
      <c r="U1" s="5" t="s">
        <v>29</v>
      </c>
      <c r="V1" s="10" t="s">
        <v>30</v>
      </c>
      <c r="W1" s="11" t="s">
        <v>31</v>
      </c>
      <c r="X1" s="9" t="s">
        <v>32</v>
      </c>
      <c r="Y1" s="5" t="s">
        <v>33</v>
      </c>
      <c r="Z1" s="5" t="s">
        <v>34</v>
      </c>
      <c r="AA1" s="5" t="s">
        <v>35</v>
      </c>
      <c r="AB1" s="5" t="s">
        <v>36</v>
      </c>
      <c r="AC1" s="7" t="s">
        <v>37</v>
      </c>
      <c r="AD1" s="5" t="s">
        <v>38</v>
      </c>
      <c r="AE1" s="5" t="s">
        <v>39</v>
      </c>
    </row>
    <row r="2" customFormat="false" ht="39.55" hidden="false" customHeight="false" outlineLevel="0" collapsed="false">
      <c r="A2" s="2" t="str">
        <f aca="false">"Acton"&amp;IF(C2="X","/Boxborough","")&amp;IF(F2="X","/Carlisle","")&amp;IF(G2="X","/Concord","")&amp;IF(D2="X","/Littleton","")&amp;IF(I2="X","/Maynard","")&amp;IF(J2="X","/Stow","")&amp;IF(H2="X","/Sudbury","")&amp;IF(E2="X","/Westford","")&amp;IF(ISBLANK(AC2),""," "&amp;AC2) &amp;IF(OR(B2="Street Crossing",B2="Witness")," "&amp;K2,"")</f>
        <v>Acton/Boxborough Central Street</v>
      </c>
      <c r="B2" s="2" t="s">
        <v>40</v>
      </c>
      <c r="C2" s="4" t="s">
        <v>41</v>
      </c>
      <c r="K2" s="2" t="s">
        <v>42</v>
      </c>
      <c r="L2" s="2" t="s">
        <v>42</v>
      </c>
      <c r="M2" s="2"/>
      <c r="N2" s="2" t="s">
        <v>43</v>
      </c>
      <c r="O2" s="12" t="n">
        <v>45916</v>
      </c>
      <c r="P2" s="2" t="s">
        <v>44</v>
      </c>
      <c r="Q2" s="13" t="s">
        <v>45</v>
      </c>
      <c r="R2" s="2"/>
      <c r="S2" s="4" t="s">
        <v>46</v>
      </c>
      <c r="T2" s="14" t="s">
        <v>47</v>
      </c>
      <c r="U2" s="4" t="n">
        <f aca="false">IF(ISBLANK(T2),"",ABS(TRUNC(T2)))</f>
        <v>42</v>
      </c>
      <c r="V2" s="15" t="n">
        <f aca="false">IF(ISBLANK(T2),"",TRUNC(ABS(T2-TRUNC(T2))*60))</f>
        <v>29</v>
      </c>
      <c r="W2" s="16" t="n">
        <f aca="false">IF(ISBLANK(T2),"",(T2 -(U2+V2/60))*60*60)</f>
        <v>45.4199999999986</v>
      </c>
      <c r="X2" s="14" t="s">
        <v>48</v>
      </c>
      <c r="Y2" s="4" t="n">
        <f aca="false">ABS(TRUNC(X2))</f>
        <v>71</v>
      </c>
      <c r="Z2" s="15" t="n">
        <f aca="false">TRUNC(ABS(X2-TRUNC(X2))*60)</f>
        <v>28</v>
      </c>
      <c r="AA2" s="16" t="n">
        <f aca="false">(ABS(X2) -(Y2+Z2/60))*60*60</f>
        <v>35.187599999972</v>
      </c>
      <c r="AB2" s="17" t="str">
        <f aca="false">IF(ISBLANK(T2),"","https://openstreetmap.org/?mlat="&amp;T2&amp;"&amp;mlon="&amp;X2&amp;"#map=16/"&amp;T2&amp;"/"&amp;X2)</f>
        <v>https://openstreetmap.org/?mlat=42.495950&amp;mlon=-71.476441#map=16/42.495950/-71.476441</v>
      </c>
      <c r="AD2" s="15" t="n">
        <v>38</v>
      </c>
    </row>
    <row r="3" customFormat="false" ht="102.95" hidden="false" customHeight="false" outlineLevel="0" collapsed="false">
      <c r="A3" s="2" t="str">
        <f aca="false">"Acton"&amp;IF(C3="X","/Boxborough","")&amp;IF(F3="X","/Carlisle","")&amp;IF(G3="X","/Concord","")&amp;IF(D3="X","/Littleton","")&amp;IF(I3="X","/Maynard","")&amp;IF(J3="X","/Stow","")&amp;IF(H3="X","/Sudbury","")&amp;IF(E3="X","/Westford","")&amp;IF(ISBLANK(AC3),""," "&amp;AC3) &amp;IF(OR(B3="Street Crossing",B3="Witness")," "&amp;K3,"")</f>
        <v>Acton/Boxborough Littlefield Road</v>
      </c>
      <c r="B3" s="2" t="s">
        <v>40</v>
      </c>
      <c r="C3" s="4" t="s">
        <v>41</v>
      </c>
      <c r="K3" s="2" t="s">
        <v>49</v>
      </c>
      <c r="L3" s="2"/>
      <c r="M3" s="2"/>
      <c r="N3" s="2" t="s">
        <v>43</v>
      </c>
      <c r="O3" s="12" t="n">
        <v>45967</v>
      </c>
      <c r="P3" s="2" t="s">
        <v>50</v>
      </c>
      <c r="Q3" s="13" t="s">
        <v>51</v>
      </c>
      <c r="R3" s="2" t="s">
        <v>52</v>
      </c>
      <c r="S3" s="4" t="s">
        <v>46</v>
      </c>
      <c r="T3" s="14" t="s">
        <v>53</v>
      </c>
      <c r="U3" s="4" t="n">
        <f aca="false">IF(ISBLANK(T3),"",ABS(TRUNC(T3)))</f>
        <v>42</v>
      </c>
      <c r="V3" s="15" t="n">
        <f aca="false">IF(ISBLANK(T3),"",TRUNC(ABS(T3-TRUNC(T3))*60))</f>
        <v>29</v>
      </c>
      <c r="W3" s="16" t="n">
        <f aca="false">IF(ISBLANK(T3),"",(T3 -(U3+V3/60))*60*60)</f>
        <v>33.5003999999856</v>
      </c>
      <c r="X3" s="14" t="s">
        <v>54</v>
      </c>
      <c r="Y3" s="4" t="n">
        <f aca="false">ABS(TRUNC(X3))</f>
        <v>71</v>
      </c>
      <c r="Z3" s="15" t="n">
        <f aca="false">TRUNC(ABS(X3-TRUNC(X3))*60)</f>
        <v>28</v>
      </c>
      <c r="AA3" s="16" t="n">
        <f aca="false">(ABS(X3) -(Y3+Z3/60))*60*60</f>
        <v>43.3847999999955</v>
      </c>
      <c r="AB3" s="17" t="str">
        <f aca="false">IF(ISBLANK(T3),"","https://openstreetmap.org/?mlat="&amp;T3&amp;"&amp;mlon="&amp;X3&amp;"#map=16/"&amp;T3&amp;"/"&amp;X3)</f>
        <v>https://openstreetmap.org/?mlat=42.492639&amp;mlon=-71.478718#map=16/42.492639/-71.478718</v>
      </c>
      <c r="AD3" s="15" t="n">
        <v>39</v>
      </c>
    </row>
    <row r="4" customFormat="false" ht="77.6" hidden="false" customHeight="false" outlineLevel="0" collapsed="false">
      <c r="A4" s="2" t="str">
        <f aca="false">"Acton"&amp;IF(C4="X","/Boxborough","")&amp;IF(F4="X","/Carlisle","")&amp;IF(G4="X","/Concord","")&amp;IF(D4="X","/Littleton","")&amp;IF(I4="X","/Maynard","")&amp;IF(J4="X","/Stow","")&amp;IF(H4="X","/Sudbury","")&amp;IF(E4="X","/Westford","")&amp;IF(ISBLANK(AC4),""," "&amp;AC4) &amp;IF(OR(B4="Street Crossing",B4="Witness")," "&amp;K4,"")</f>
        <v>Acton/Boxborough Mass Ave (Rte 111)</v>
      </c>
      <c r="B4" s="2" t="s">
        <v>40</v>
      </c>
      <c r="C4" s="4" t="s">
        <v>41</v>
      </c>
      <c r="K4" s="2" t="s">
        <v>55</v>
      </c>
      <c r="L4" s="2"/>
      <c r="M4" s="2"/>
      <c r="N4" s="2" t="s">
        <v>56</v>
      </c>
      <c r="O4" s="12" t="n">
        <v>45952</v>
      </c>
      <c r="P4" s="2" t="s">
        <v>57</v>
      </c>
      <c r="Q4" s="13" t="s">
        <v>58</v>
      </c>
      <c r="R4" s="2"/>
      <c r="S4" s="4" t="s">
        <v>59</v>
      </c>
      <c r="T4" s="14" t="n">
        <v>42.4783</v>
      </c>
      <c r="U4" s="4" t="n">
        <f aca="false">IF(ISBLANK(T4),"",ABS(TRUNC(T4)))</f>
        <v>42</v>
      </c>
      <c r="V4" s="15" t="n">
        <f aca="false">IF(ISBLANK(T4),"",TRUNC(ABS(T4-TRUNC(T4))*60))</f>
        <v>28</v>
      </c>
      <c r="W4" s="16" t="n">
        <f aca="false">IF(ISBLANK(T4),"",(T4 -(U4+V4/60))*60*60)</f>
        <v>41.8799999999834</v>
      </c>
      <c r="X4" s="14" t="s">
        <v>60</v>
      </c>
      <c r="Y4" s="4" t="n">
        <f aca="false">IF(ISBLANK(X4),"",ABS(TRUNC(X4)))</f>
        <v>71</v>
      </c>
      <c r="Z4" s="15" t="n">
        <f aca="false">IF(ISBLANK(X4),"",TRUNC(ABS(X4-TRUNC(X4))*60))</f>
        <v>29</v>
      </c>
      <c r="AA4" s="16" t="n">
        <f aca="false">IF(ISBLANK(X4),"",(ABS(X4) -(Y4+Z4/60))*60*60)</f>
        <v>18.816000000021</v>
      </c>
      <c r="AB4" s="17" t="str">
        <f aca="false">IF(ISBLANK(T4),"","https://openstreetmap.org/?mlat="&amp;T4&amp;"&amp;mlon="&amp;X4&amp;"#map=16/"&amp;T4&amp;"/"&amp;X4)</f>
        <v>https://openstreetmap.org/?mlat=42.4783&amp;mlon=-71.48856#map=16/42.4783/-71.48856</v>
      </c>
      <c r="AD4" s="15" t="n">
        <v>40</v>
      </c>
      <c r="AE4" s="4" t="s">
        <v>61</v>
      </c>
    </row>
    <row r="5" customFormat="false" ht="26.85" hidden="false" customHeight="false" outlineLevel="0" collapsed="false">
      <c r="A5" s="2" t="str">
        <f aca="false">"Acton"&amp;IF(C5="X","/Boxborough","")&amp;IF(F5="X","/Carlisle","")&amp;IF(G5="X","/Concord","")&amp;IF(D5="X","/Littleton","")&amp;IF(I5="X","/Maynard","")&amp;IF(J5="X","/Stow","")&amp;IF(H5="X","/Sudbury","")&amp;IF(E5="X","/Westford","")&amp;IF(ISBLANK(AC5),""," "&amp;AC5) &amp;IF(OR(B5="Street Crossing",B5="Witness")," "&amp;K5,"")</f>
        <v>Acton/Boxborough Rte 2</v>
      </c>
      <c r="B5" s="2" t="s">
        <v>40</v>
      </c>
      <c r="C5" s="4" t="s">
        <v>41</v>
      </c>
      <c r="K5" s="2" t="s">
        <v>62</v>
      </c>
      <c r="L5" s="2"/>
      <c r="M5" s="2"/>
      <c r="N5" s="2" t="s">
        <v>56</v>
      </c>
      <c r="O5" s="12" t="n">
        <v>45792</v>
      </c>
      <c r="P5" s="2" t="s">
        <v>63</v>
      </c>
      <c r="Q5" s="2" t="s">
        <v>64</v>
      </c>
      <c r="R5" s="2"/>
      <c r="S5" s="4" t="s">
        <v>59</v>
      </c>
      <c r="T5" s="14" t="n">
        <v>42.4996</v>
      </c>
      <c r="U5" s="4" t="n">
        <f aca="false">IF(ISBLANK(T5),"",ABS(TRUNC(T5)))</f>
        <v>42</v>
      </c>
      <c r="V5" s="15" t="n">
        <f aca="false">IF(ISBLANK(T5),"",TRUNC(ABS(T5-TRUNC(T5))*60))</f>
        <v>29</v>
      </c>
      <c r="W5" s="16" t="n">
        <f aca="false">IF(ISBLANK(T5),"",(T5 -(U5+V5/60))*60*60)</f>
        <v>58.5599999999999</v>
      </c>
      <c r="X5" s="14" t="s">
        <v>65</v>
      </c>
      <c r="Y5" s="4" t="n">
        <f aca="false">IF(ISBLANK(X5),"",ABS(TRUNC(X5)))</f>
        <v>71</v>
      </c>
      <c r="Z5" s="15" t="n">
        <f aca="false">IF(ISBLANK(X5),"",TRUNC(ABS(X5-TRUNC(X5))*60))</f>
        <v>28</v>
      </c>
      <c r="AA5" s="16" t="n">
        <f aca="false">IF(ISBLANK(X5),"",(ABS(X5) -(Y5+Z5/60))*60*60)</f>
        <v>26.0039999999833</v>
      </c>
      <c r="AB5" s="17" t="str">
        <f aca="false">IF(ISBLANK(T5),"","https://openstreetmap.org/?mlat="&amp;T5&amp;"&amp;mlon="&amp;X5&amp;"#map=16/"&amp;T5&amp;"/"&amp;X5)</f>
        <v>https://openstreetmap.org/?mlat=42.4996&amp;mlon=-71.47389#map=16/42.4996/-71.47389</v>
      </c>
      <c r="AD5" s="15" t="n">
        <v>37</v>
      </c>
    </row>
    <row r="6" customFormat="false" ht="26.85" hidden="false" customHeight="false" outlineLevel="0" collapsed="false">
      <c r="A6" s="2" t="str">
        <f aca="false">"Acton"&amp;IF(C6="X","/Boxborough","")&amp;IF(F6="X","/Carlisle","")&amp;IF(G6="X","/Concord","")&amp;IF(D6="X","/Littleton","")&amp;IF(I6="X","/Maynard","")&amp;IF(J6="X","/Stow","")&amp;IF(H6="X","/Sudbury","")&amp;IF(E6="X","/Westford","")&amp;IF(ISBLANK(AC6),""," "&amp;AC6) &amp;IF(OR(B6="Street Crossing",B6="Witness")," "&amp;K6,"")</f>
        <v>Acton/Boxborough Summer Street</v>
      </c>
      <c r="B6" s="2" t="s">
        <v>40</v>
      </c>
      <c r="C6" s="4" t="s">
        <v>41</v>
      </c>
      <c r="K6" s="2" t="s">
        <v>66</v>
      </c>
      <c r="L6" s="2" t="s">
        <v>67</v>
      </c>
      <c r="M6" s="2"/>
      <c r="N6" s="2" t="s">
        <v>43</v>
      </c>
      <c r="O6" s="12" t="n">
        <v>45916</v>
      </c>
      <c r="P6" s="2" t="s">
        <v>68</v>
      </c>
      <c r="Q6" s="13" t="s">
        <v>69</v>
      </c>
      <c r="R6" s="2"/>
      <c r="S6" s="4" t="s">
        <v>46</v>
      </c>
      <c r="T6" s="14" t="s">
        <v>70</v>
      </c>
      <c r="U6" s="4" t="n">
        <f aca="false">IF(ISBLANK(T6),"",ABS(TRUNC(T6)))</f>
        <v>42</v>
      </c>
      <c r="V6" s="15" t="n">
        <f aca="false">IF(ISBLANK(T6),"",TRUNC(ABS(T6-TRUNC(T6))*60))</f>
        <v>28</v>
      </c>
      <c r="W6" s="16" t="n">
        <f aca="false">IF(ISBLANK(T6),"",(T6 -(U6+V6/60))*60*60)</f>
        <v>23.714399999983</v>
      </c>
      <c r="X6" s="14" t="s">
        <v>71</v>
      </c>
      <c r="Y6" s="4" t="n">
        <f aca="false">IF(ISBLANK(X6),"",ABS(TRUNC(X6)))</f>
        <v>71</v>
      </c>
      <c r="Z6" s="15" t="n">
        <f aca="false">IF(ISBLANK(X6),"",TRUNC(ABS(X6-TRUNC(X6))*60))</f>
        <v>29</v>
      </c>
      <c r="AA6" s="16" t="n">
        <f aca="false">IF(ISBLANK(X6),"",(ABS(X6) -(Y6+Z6/60))*60*60)</f>
        <v>31.4016000000152</v>
      </c>
      <c r="AB6" s="17" t="str">
        <f aca="false">IF(ISBLANK(T6),"","https://openstreetmap.org/?mlat="&amp;T6&amp;"&amp;mlon="&amp;X6&amp;"#map=16/"&amp;T6&amp;"/"&amp;X6)</f>
        <v>https://openstreetmap.org/?mlat=42.473254&amp;mlon=-71.492056#map=16/42.473254/-71.492056</v>
      </c>
      <c r="AD6" s="15" t="n">
        <v>41</v>
      </c>
    </row>
    <row r="7" customFormat="false" ht="115.65" hidden="false" customHeight="false" outlineLevel="0" collapsed="false">
      <c r="A7" s="2" t="str">
        <f aca="false">"Acton"&amp;IF(C7="X","/Boxborough","")&amp;IF(F7="X","/Carlisle","")&amp;IF(G7="X","/Concord","")&amp;IF(D7="X","/Littleton","")&amp;IF(I7="X","/Maynard","")&amp;IF(J7="X","/Stow","")&amp;IF(H7="X","/Sudbury","")&amp;IF(E7="X","/Westford","")&amp;IF(ISBLANK(AC7),""," "&amp;AC7) &amp;IF(OR(B7="Street Crossing",B7="Witness")," "&amp;K7,"")</f>
        <v>Acton/Boxborough/Littleton</v>
      </c>
      <c r="B7" s="2" t="s">
        <v>72</v>
      </c>
      <c r="C7" s="4" t="s">
        <v>41</v>
      </c>
      <c r="D7" s="4" t="s">
        <v>41</v>
      </c>
      <c r="K7" s="2" t="s">
        <v>42</v>
      </c>
      <c r="L7" s="2" t="s">
        <v>73</v>
      </c>
      <c r="M7" s="2" t="s">
        <v>74</v>
      </c>
      <c r="N7" s="2" t="s">
        <v>56</v>
      </c>
      <c r="O7" s="12" t="n">
        <v>45792</v>
      </c>
      <c r="P7" s="2" t="s">
        <v>75</v>
      </c>
      <c r="Q7" s="13" t="s">
        <v>76</v>
      </c>
      <c r="R7" s="2"/>
      <c r="S7" s="4" t="s">
        <v>77</v>
      </c>
      <c r="T7" s="18" t="n">
        <v>42.5001860150001</v>
      </c>
      <c r="U7" s="4" t="n">
        <f aca="false">ABS(TRUNC(T7))</f>
        <v>42</v>
      </c>
      <c r="V7" s="15" t="n">
        <f aca="false">TRUNC(ABS(T7-TRUNC(T7))*60)</f>
        <v>30</v>
      </c>
      <c r="W7" s="16" t="n">
        <f aca="false">(T7 -(U7+V7/60))*60*60</f>
        <v>0.669654000347464</v>
      </c>
      <c r="X7" s="4" t="n">
        <v>-71.473529496</v>
      </c>
      <c r="Y7" s="4" t="n">
        <f aca="false">ABS(TRUNC(X7))</f>
        <v>71</v>
      </c>
      <c r="Z7" s="15" t="n">
        <f aca="false">TRUNC(ABS(X7-TRUNC(X7))*60)</f>
        <v>28</v>
      </c>
      <c r="AA7" s="16" t="n">
        <f aca="false">(ABS(X7) -(Y7+Z7/60))*60*60</f>
        <v>24.7061855999846</v>
      </c>
      <c r="AB7" s="17" t="str">
        <f aca="false">IF(ISBLANK(T7),"","https://openstreetmap.org/?mlat="&amp;T7&amp;"&amp;mlon="&amp;X7&amp;"#map=16/"&amp;T7&amp;"/"&amp;X7)</f>
        <v>https://openstreetmap.org/?mlat=42.5001860150001&amp;mlon=-71.473529496#map=16/42.5001860150001/-71.473529496</v>
      </c>
      <c r="AD7" s="15" t="n">
        <v>36</v>
      </c>
      <c r="AE7" s="4" t="s">
        <v>78</v>
      </c>
    </row>
    <row r="8" customFormat="false" ht="77.6" hidden="false" customHeight="false" outlineLevel="0" collapsed="false">
      <c r="A8" s="2" t="str">
        <f aca="false">"Acton"&amp;IF(C8="X","/Boxborough","")&amp;IF(F8="X","/Carlisle","")&amp;IF(G8="X","/Concord","")&amp;IF(D8="X","/Littleton","")&amp;IF(I8="X","/Maynard","")&amp;IF(J8="X","/Stow","")&amp;IF(H8="X","/Sudbury","")&amp;IF(E8="X","/Westford","")&amp;IF(ISBLANK(AC8),""," "&amp;AC8) &amp;IF(OR(B8="Street Crossing",B8="Witness")," "&amp;K8,"")</f>
        <v>Acton/Boxborough/Stow</v>
      </c>
      <c r="B8" s="2" t="s">
        <v>72</v>
      </c>
      <c r="C8" s="4" t="s">
        <v>41</v>
      </c>
      <c r="J8" s="4" t="s">
        <v>41</v>
      </c>
      <c r="K8" s="2" t="s">
        <v>79</v>
      </c>
      <c r="L8" s="2"/>
      <c r="M8" s="2" t="s">
        <v>80</v>
      </c>
      <c r="N8" s="2" t="s">
        <v>43</v>
      </c>
      <c r="O8" s="12" t="n">
        <v>45916</v>
      </c>
      <c r="P8" s="2" t="s">
        <v>81</v>
      </c>
      <c r="Q8" s="13" t="s">
        <v>82</v>
      </c>
      <c r="R8" s="2" t="s">
        <v>83</v>
      </c>
      <c r="S8" s="4" t="s">
        <v>77</v>
      </c>
      <c r="T8" s="4" t="n">
        <v>42.4637837510001</v>
      </c>
      <c r="U8" s="4" t="n">
        <f aca="false">ABS(TRUNC(T8))</f>
        <v>42</v>
      </c>
      <c r="V8" s="15" t="n">
        <f aca="false">TRUNC(ABS(T8-TRUNC(T8))*60)</f>
        <v>27</v>
      </c>
      <c r="W8" s="16" t="n">
        <f aca="false">(T8 -(U8+V8/60))*60*60</f>
        <v>49.621503600352</v>
      </c>
      <c r="X8" s="4" t="n">
        <v>-71.498547705</v>
      </c>
      <c r="Y8" s="4" t="n">
        <f aca="false">ABS(TRUNC(X8))</f>
        <v>71</v>
      </c>
      <c r="Z8" s="15" t="n">
        <f aca="false">TRUNC(ABS(X8-TRUNC(X8))*60)</f>
        <v>29</v>
      </c>
      <c r="AA8" s="16" t="n">
        <f aca="false">(ABS(X8) -(Y8+Z8/60))*60*60</f>
        <v>54.771737999971</v>
      </c>
      <c r="AB8" s="17" t="str">
        <f aca="false">IF(ISBLANK(T8),"","https://openstreetmap.org/?mlat="&amp;T8&amp;"&amp;mlon="&amp;X8&amp;"#map=16/"&amp;T8&amp;"/"&amp;X8)</f>
        <v>https://openstreetmap.org/?mlat=42.4637837510001&amp;mlon=-71.498547705#map=16/42.4637837510001/-71.498547705</v>
      </c>
      <c r="AD8" s="15" t="n">
        <v>42</v>
      </c>
      <c r="AE8" s="4" t="s">
        <v>84</v>
      </c>
    </row>
    <row r="9" customFormat="false" ht="52.2" hidden="false" customHeight="false" outlineLevel="0" collapsed="false">
      <c r="A9" s="2" t="str">
        <f aca="false">"Acton"&amp;IF(C9="X","/Boxborough","")&amp;IF(F9="X","/Carlisle","")&amp;IF(G9="X","/Concord","")&amp;IF(D9="X","/Littleton","")&amp;IF(I9="X","/Maynard","")&amp;IF(J9="X","/Stow","")&amp;IF(H9="X","/Sudbury","")&amp;IF(E9="X","/Westford","")&amp;IF(ISBLANK(AC9),""," "&amp;AC9) &amp;IF(OR(B9="Street Crossing",B9="Witness")," "&amp;K9,"")</f>
        <v>Acton/Carlisle 1</v>
      </c>
      <c r="B9" s="2" t="s">
        <v>72</v>
      </c>
      <c r="F9" s="4" t="s">
        <v>41</v>
      </c>
      <c r="K9" s="2" t="s">
        <v>85</v>
      </c>
      <c r="L9" s="2"/>
      <c r="M9" s="2" t="s">
        <v>86</v>
      </c>
      <c r="N9" s="2" t="s">
        <v>43</v>
      </c>
      <c r="O9" s="12" t="n">
        <v>45838</v>
      </c>
      <c r="P9" s="2" t="s">
        <v>87</v>
      </c>
      <c r="Q9" s="13" t="s">
        <v>88</v>
      </c>
      <c r="S9" s="4" t="s">
        <v>77</v>
      </c>
      <c r="T9" s="4" t="n">
        <v>42.5068287080001</v>
      </c>
      <c r="U9" s="4" t="n">
        <f aca="false">ABS(TRUNC(T9))</f>
        <v>42</v>
      </c>
      <c r="V9" s="15" t="n">
        <f aca="false">TRUNC(ABS(T9-TRUNC(T9))*60)</f>
        <v>30</v>
      </c>
      <c r="W9" s="16" t="n">
        <f aca="false">(T9 -(U9+V9/60))*60*60</f>
        <v>24.5833488003598</v>
      </c>
      <c r="X9" s="4" t="n">
        <v>-71.391564186</v>
      </c>
      <c r="Y9" s="4" t="n">
        <f aca="false">ABS(TRUNC(X9))</f>
        <v>71</v>
      </c>
      <c r="Z9" s="15" t="n">
        <f aca="false">TRUNC(ABS(X9-TRUNC(X9))*60)</f>
        <v>23</v>
      </c>
      <c r="AA9" s="16" t="n">
        <f aca="false">(ABS(X9) -(Y9+Z9/60))*60*60</f>
        <v>29.6310695999637</v>
      </c>
      <c r="AB9" s="17" t="str">
        <f aca="false">IF(ISBLANK(T9),"","https://openstreetmap.org/?mlat="&amp;T9&amp;"&amp;mlon="&amp;X9&amp;"#map=16/"&amp;T9&amp;"/"&amp;X9)</f>
        <v>https://openstreetmap.org/?mlat=42.5068287080001&amp;mlon=-71.391564186#map=16/42.5068287080001/-71.391564186</v>
      </c>
      <c r="AC9" s="4" t="n">
        <v>1</v>
      </c>
      <c r="AD9" s="15" t="n">
        <v>14</v>
      </c>
    </row>
    <row r="10" customFormat="false" ht="52.2" hidden="false" customHeight="false" outlineLevel="0" collapsed="false">
      <c r="A10" s="2" t="str">
        <f aca="false">"Acton"&amp;IF(C10="X","/Boxborough","")&amp;IF(F10="X","/Carlisle","")&amp;IF(G10="X","/Concord","")&amp;IF(D10="X","/Littleton","")&amp;IF(I10="X","/Maynard","")&amp;IF(J10="X","/Stow","")&amp;IF(H10="X","/Sudbury","")&amp;IF(E10="X","/Westford","")&amp;IF(ISBLANK(AC10),""," "&amp;AC10) &amp;IF(OR(B10="Street Crossing",B10="Witness")," "&amp;K10,"")</f>
        <v>Acton/Carlisle 2</v>
      </c>
      <c r="B10" s="2" t="s">
        <v>72</v>
      </c>
      <c r="F10" s="4" t="s">
        <v>41</v>
      </c>
      <c r="K10" s="2" t="s">
        <v>89</v>
      </c>
      <c r="L10" s="2" t="s">
        <v>90</v>
      </c>
      <c r="M10" s="2"/>
      <c r="N10" s="2" t="s">
        <v>43</v>
      </c>
      <c r="O10" s="12" t="n">
        <v>45838</v>
      </c>
      <c r="P10" s="2" t="s">
        <v>91</v>
      </c>
      <c r="Q10" s="13" t="s">
        <v>92</v>
      </c>
      <c r="S10" s="4" t="s">
        <v>77</v>
      </c>
      <c r="T10" s="4" t="n">
        <v>42.526344807</v>
      </c>
      <c r="U10" s="4" t="n">
        <f aca="false">ABS(TRUNC(T10))</f>
        <v>42</v>
      </c>
      <c r="V10" s="15" t="n">
        <f aca="false">TRUNC(ABS(T10-TRUNC(T10))*60)</f>
        <v>31</v>
      </c>
      <c r="W10" s="16" t="n">
        <f aca="false">(T10 -(U10+V10/60))*60*60</f>
        <v>34.8413052000069</v>
      </c>
      <c r="X10" s="4" t="n">
        <v>-71.397947145</v>
      </c>
      <c r="Y10" s="4" t="n">
        <f aca="false">ABS(TRUNC(X10))</f>
        <v>71</v>
      </c>
      <c r="Z10" s="15" t="n">
        <f aca="false">TRUNC(ABS(X10-TRUNC(X10))*60)</f>
        <v>23</v>
      </c>
      <c r="AA10" s="16" t="n">
        <f aca="false">(ABS(X10) -(Y10+Z10/60))*60*60</f>
        <v>52.6097219999883</v>
      </c>
      <c r="AB10" s="17" t="str">
        <f aca="false">IF(ISBLANK(T10),"","https://openstreetmap.org/?mlat="&amp;T10&amp;"&amp;mlon="&amp;X10&amp;"#map=16/"&amp;T10&amp;"/"&amp;X10)</f>
        <v>https://openstreetmap.org/?mlat=42.526344807&amp;mlon=-71.397947145#map=16/42.526344807/-71.397947145</v>
      </c>
      <c r="AC10" s="4" t="n">
        <v>2</v>
      </c>
      <c r="AD10" s="15" t="n">
        <v>15</v>
      </c>
    </row>
    <row r="11" customFormat="false" ht="77.6" hidden="false" customHeight="false" outlineLevel="0" collapsed="false">
      <c r="A11" s="2" t="str">
        <f aca="false">"Acton"&amp;IF(C11="X","/Boxborough","")&amp;IF(F11="X","/Carlisle","")&amp;IF(G11="X","/Concord","")&amp;IF(D11="X","/Littleton","")&amp;IF(I11="X","/Maynard","")&amp;IF(J11="X","/Stow","")&amp;IF(H11="X","/Sudbury","")&amp;IF(E11="X","/Westford","")&amp;IF(ISBLANK(AC11),""," "&amp;AC11) &amp;IF(OR(B11="Street Crossing",B11="Witness")," "&amp;K11,"")</f>
        <v>Acton/Carlisle Main Street (Rte 27)</v>
      </c>
      <c r="B11" s="2" t="s">
        <v>40</v>
      </c>
      <c r="F11" s="4" t="s">
        <v>41</v>
      </c>
      <c r="K11" s="2" t="s">
        <v>93</v>
      </c>
      <c r="L11" s="2" t="s">
        <v>94</v>
      </c>
      <c r="M11" s="2"/>
      <c r="N11" s="2" t="s">
        <v>43</v>
      </c>
      <c r="O11" s="12" t="n">
        <v>45838</v>
      </c>
      <c r="P11" s="2" t="s">
        <v>95</v>
      </c>
      <c r="Q11" s="13" t="s">
        <v>96</v>
      </c>
      <c r="R11" s="2" t="s">
        <v>97</v>
      </c>
      <c r="S11" s="4" t="s">
        <v>46</v>
      </c>
      <c r="T11" s="14" t="s">
        <v>98</v>
      </c>
      <c r="U11" s="4" t="n">
        <f aca="false">IF(ISBLANK(T11),"",ABS(TRUNC(T11)))</f>
        <v>42</v>
      </c>
      <c r="V11" s="15" t="n">
        <f aca="false">IF(ISBLANK(T11),"",TRUNC(ABS(T11-TRUNC(T11))*60))</f>
        <v>31</v>
      </c>
      <c r="W11" s="16" t="n">
        <f aca="false">IF(ISBLANK(T11),"",(T11 -(U11+V11/60))*60*60)</f>
        <v>34.8096000000055</v>
      </c>
      <c r="X11" s="14" t="s">
        <v>99</v>
      </c>
      <c r="Y11" s="4" t="n">
        <f aca="false">IF(ISBLANK(X11),"",ABS(TRUNC(X11)))</f>
        <v>71</v>
      </c>
      <c r="Z11" s="15" t="n">
        <f aca="false">IF(ISBLANK(X11),"",TRUNC(ABS(X11-TRUNC(X11))*60))</f>
        <v>23</v>
      </c>
      <c r="AA11" s="16" t="n">
        <f aca="false">IF(ISBLANK(X11),"",(ABS(X11) -(Y11+Z11/60))*60*60)</f>
        <v>52.6055999999926</v>
      </c>
      <c r="AB11" s="17" t="str">
        <f aca="false">IF(ISBLANK(T11),"","https://openstreetmap.org/?mlat="&amp;T11&amp;"&amp;mlon="&amp;X11&amp;"#map=16/"&amp;T11&amp;"/"&amp;X11)</f>
        <v>https://openstreetmap.org/?mlat=42.526336&amp;mlon=-71.397946#map=16/42.526336/-71.397946</v>
      </c>
      <c r="AD11" s="15" t="n">
        <v>16</v>
      </c>
      <c r="AE11" s="4" t="s">
        <v>100</v>
      </c>
    </row>
    <row r="12" customFormat="false" ht="64.9" hidden="false" customHeight="false" outlineLevel="0" collapsed="false">
      <c r="A12" s="2" t="str">
        <f aca="false">"Acton"&amp;IF(C12="X","/Boxborough","")&amp;IF(F12="X","/Carlisle","")&amp;IF(G12="X","/Concord","")&amp;IF(D12="X","/Littleton","")&amp;IF(I12="X","/Maynard","")&amp;IF(J12="X","/Stow","")&amp;IF(H12="X","/Sudbury","")&amp;IF(E12="X","/Westford","")&amp;IF(ISBLANK(AC12),""," "&amp;AC12) &amp;IF(OR(B12="Street Crossing",B12="Witness")," "&amp;K12,"")</f>
        <v>Acton/Carlisle unknown road</v>
      </c>
      <c r="B12" s="2" t="s">
        <v>40</v>
      </c>
      <c r="F12" s="4" t="s">
        <v>41</v>
      </c>
      <c r="K12" s="2" t="s">
        <v>101</v>
      </c>
      <c r="L12" s="2"/>
      <c r="M12" s="2"/>
      <c r="N12" s="2" t="s">
        <v>102</v>
      </c>
      <c r="O12" s="12"/>
      <c r="P12" s="2" t="s">
        <v>103</v>
      </c>
      <c r="Q12" s="13" t="s">
        <v>104</v>
      </c>
      <c r="S12" s="4"/>
      <c r="T12" s="14"/>
      <c r="V12" s="15"/>
      <c r="W12" s="16"/>
      <c r="X12" s="14"/>
      <c r="Z12" s="15"/>
      <c r="AA12" s="16"/>
      <c r="AB12" s="4" t="str">
        <f aca="false">IF(ISBLANK(T12),"","https://openstreetmap.org/?mlat="&amp;T12&amp;"&amp;mlon="&amp;X12&amp;"#map=16/"&amp;T12&amp;"/"&amp;X12)</f>
        <v/>
      </c>
      <c r="AD12" s="15" t="n">
        <v>13</v>
      </c>
      <c r="AE12" s="4" t="s">
        <v>105</v>
      </c>
    </row>
    <row r="13" customFormat="false" ht="141" hidden="false" customHeight="false" outlineLevel="0" collapsed="false">
      <c r="A13" s="2" t="str">
        <f aca="false">"Acton"&amp;IF(C13="X","/Boxborough","")&amp;IF(F13="X","/Carlisle","")&amp;IF(G13="X","/Concord","")&amp;IF(D13="X","/Littleton","")&amp;IF(I13="X","/Maynard","")&amp;IF(J13="X","/Stow","")&amp;IF(H13="X","/Sudbury","")&amp;IF(E13="X","/Westford","")&amp;IF(ISBLANK(AC13),""," "&amp;AC13) &amp;IF(OR(B13="Street Crossing",B13="Witness")," "&amp;K13,"")</f>
        <v>Acton/Carlisle/Concord Pope Road Witness Marker</v>
      </c>
      <c r="B13" s="2" t="s">
        <v>106</v>
      </c>
      <c r="F13" s="4" t="s">
        <v>41</v>
      </c>
      <c r="G13" s="4" t="s">
        <v>41</v>
      </c>
      <c r="K13" s="2" t="s">
        <v>107</v>
      </c>
      <c r="L13" s="2"/>
      <c r="M13" s="2" t="s">
        <v>108</v>
      </c>
      <c r="N13" s="2" t="s">
        <v>43</v>
      </c>
      <c r="O13" s="12" t="n">
        <v>45838</v>
      </c>
      <c r="P13" s="19" t="s">
        <v>109</v>
      </c>
      <c r="Q13" s="2" t="s">
        <v>110</v>
      </c>
      <c r="R13" s="2" t="s">
        <v>111</v>
      </c>
      <c r="S13" s="4" t="s">
        <v>59</v>
      </c>
      <c r="T13" s="4" t="n">
        <v>42.504159</v>
      </c>
      <c r="U13" s="4" t="n">
        <f aca="false">ABS(TRUNC(T13))</f>
        <v>42</v>
      </c>
      <c r="V13" s="15" t="n">
        <f aca="false">TRUNC(ABS(T13-TRUNC(T13))*60)</f>
        <v>30</v>
      </c>
      <c r="W13" s="16" t="n">
        <f aca="false">(T13 -(U13+V13/60))*60*60</f>
        <v>14.9724000000049</v>
      </c>
      <c r="X13" s="4" t="n">
        <v>-71.385158</v>
      </c>
      <c r="Y13" s="4" t="n">
        <f aca="false">ABS(TRUNC(X13))</f>
        <v>71</v>
      </c>
      <c r="Z13" s="15" t="n">
        <f aca="false">TRUNC(ABS(X13-TRUNC(X13))*60)</f>
        <v>23</v>
      </c>
      <c r="AA13" s="16" t="n">
        <f aca="false">(ABS(X13) -(Y13+Z13/60))*60*60</f>
        <v>6.56879999999092</v>
      </c>
      <c r="AB13" s="17" t="str">
        <f aca="false">IF(ISBLANK(T13),"","https://openstreetmap.org/?mlat="&amp;T13&amp;"&amp;mlon="&amp;X13&amp;"#map=16/"&amp;T13&amp;"/"&amp;X13)</f>
        <v>https://openstreetmap.org/?mlat=42.504159&amp;mlon=-71.385158#map=16/42.504159/-71.385158</v>
      </c>
      <c r="AD13" s="15" t="n">
        <v>12</v>
      </c>
    </row>
    <row r="14" customFormat="false" ht="153.7" hidden="false" customHeight="false" outlineLevel="0" collapsed="false">
      <c r="A14" s="2" t="str">
        <f aca="false">"Acton"&amp;IF(C14="X","/Boxborough","")&amp;IF(F14="X","/Carlisle","")&amp;IF(G14="X","/Concord","")&amp;IF(D14="X","/Littleton","")&amp;IF(I14="X","/Maynard","")&amp;IF(J14="X","/Stow","")&amp;IF(H14="X","/Sudbury","")&amp;IF(E14="X","/Westford","")&amp;IF(ISBLANK(AC14),""," "&amp;AC14) &amp;IF(OR(B14="Street Crossing",B14="Witness")," "&amp;K14,"")</f>
        <v>Acton/Carlisle/Westford</v>
      </c>
      <c r="B14" s="2" t="s">
        <v>72</v>
      </c>
      <c r="E14" s="4" t="s">
        <v>41</v>
      </c>
      <c r="F14" s="4" t="s">
        <v>41</v>
      </c>
      <c r="K14" s="2" t="s">
        <v>93</v>
      </c>
      <c r="L14" s="2"/>
      <c r="M14" s="2" t="s">
        <v>112</v>
      </c>
      <c r="N14" s="2" t="s">
        <v>43</v>
      </c>
      <c r="O14" s="12" t="n">
        <v>45838</v>
      </c>
      <c r="P14" s="2" t="s">
        <v>113</v>
      </c>
      <c r="Q14" s="13" t="s">
        <v>114</v>
      </c>
      <c r="R14" s="2"/>
      <c r="S14" s="4" t="s">
        <v>77</v>
      </c>
      <c r="T14" s="4" t="n">
        <v>42.534025086</v>
      </c>
      <c r="U14" s="4" t="n">
        <f aca="false">ABS(TRUNC(T14))</f>
        <v>42</v>
      </c>
      <c r="V14" s="15" t="n">
        <f aca="false">TRUNC(ABS(T14-TRUNC(T14))*60)</f>
        <v>32</v>
      </c>
      <c r="W14" s="16" t="n">
        <f aca="false">(T14 -(U14+V14/60))*60*60</f>
        <v>2.49030960000596</v>
      </c>
      <c r="X14" s="4" t="n">
        <v>-71.399515336</v>
      </c>
      <c r="Y14" s="4" t="n">
        <f aca="false">ABS(TRUNC(X14))</f>
        <v>71</v>
      </c>
      <c r="Z14" s="15" t="n">
        <f aca="false">TRUNC(ABS(X14-TRUNC(X14))*60)</f>
        <v>23</v>
      </c>
      <c r="AA14" s="16" t="n">
        <f aca="false">(ABS(X14) -(Y14+Z14/60))*60*60</f>
        <v>58.2552095999517</v>
      </c>
      <c r="AB14" s="17" t="str">
        <f aca="false">IF(ISBLANK(T14),"","https://openstreetmap.org/?mlat="&amp;T14&amp;"&amp;mlon="&amp;X14&amp;"#map=16/"&amp;T14&amp;"/"&amp;X14)</f>
        <v>https://openstreetmap.org/?mlat=42.534025086&amp;mlon=-71.399515336#map=16/42.534025086/-71.399515336</v>
      </c>
      <c r="AD14" s="15" t="n">
        <v>17</v>
      </c>
    </row>
    <row r="15" customFormat="false" ht="77.6" hidden="false" customHeight="false" outlineLevel="0" collapsed="false">
      <c r="A15" s="2" t="str">
        <f aca="false">"Acton"&amp;IF(C15="X","/Boxborough","")&amp;IF(F15="X","/Carlisle","")&amp;IF(G15="X","/Concord","")&amp;IF(D15="X","/Littleton","")&amp;IF(I15="X","/Maynard","")&amp;IF(J15="X","/Stow","")&amp;IF(H15="X","/Sudbury","")&amp;IF(E15="X","/Westford","")&amp;IF(ISBLANK(AC15),""," "&amp;AC15) &amp;IF(OR(B15="Street Crossing",B15="Witness")," "&amp;K15,"")</f>
        <v>Acton/Concord Great Road</v>
      </c>
      <c r="B15" s="2" t="s">
        <v>40</v>
      </c>
      <c r="G15" s="4" t="s">
        <v>41</v>
      </c>
      <c r="K15" s="2" t="s">
        <v>115</v>
      </c>
      <c r="L15" s="2"/>
      <c r="M15" s="2" t="s">
        <v>116</v>
      </c>
      <c r="N15" s="2" t="s">
        <v>43</v>
      </c>
      <c r="O15" s="12" t="n">
        <v>45838</v>
      </c>
      <c r="P15" s="2"/>
      <c r="Q15" s="13" t="s">
        <v>117</v>
      </c>
      <c r="R15" s="2" t="s">
        <v>118</v>
      </c>
      <c r="S15" s="4" t="s">
        <v>46</v>
      </c>
      <c r="T15" s="14" t="s">
        <v>119</v>
      </c>
      <c r="U15" s="4" t="n">
        <f aca="false">IF(ISBLANK(T15),"",ABS(TRUNC(T15)))</f>
        <v>42</v>
      </c>
      <c r="V15" s="15" t="n">
        <f aca="false">IF(ISBLANK(T15),"",TRUNC(ABS(T15-TRUNC(T15))*60))</f>
        <v>28</v>
      </c>
      <c r="W15" s="16" t="n">
        <f aca="false">IF(ISBLANK(T15),"",(T15 -(U15+V15/60))*60*60)</f>
        <v>24.1139999999973</v>
      </c>
      <c r="X15" s="14" t="s">
        <v>120</v>
      </c>
      <c r="Y15" s="4" t="n">
        <f aca="false">ABS(TRUNC(X15))</f>
        <v>71</v>
      </c>
      <c r="Z15" s="15" t="n">
        <f aca="false">TRUNC(ABS(X15-TRUNC(X15))*60)</f>
        <v>24</v>
      </c>
      <c r="AA15" s="16" t="n">
        <f aca="false">(ABS(X15) -(Y15+Z15/60))*60*60</f>
        <v>21.2148000000013</v>
      </c>
      <c r="AB15" s="17" t="str">
        <f aca="false">IF(ISBLANK(T15),"","https://openstreetmap.org/?mlat="&amp;T15&amp;"&amp;mlon="&amp;X15&amp;"#map=16/"&amp;T15&amp;"/"&amp;X15)</f>
        <v>https://openstreetmap.org/?mlat=42.473365&amp;mlon=-71.405893#map=16/42.473365/-71.405893</v>
      </c>
      <c r="AD15" s="15" t="n">
        <v>8</v>
      </c>
    </row>
    <row r="16" customFormat="false" ht="39.55" hidden="false" customHeight="false" outlineLevel="0" collapsed="false">
      <c r="A16" s="2" t="str">
        <f aca="false">"Acton"&amp;IF(C16="X","/Boxborough","")&amp;IF(F16="X","/Carlisle","")&amp;IF(G16="X","/Concord","")&amp;IF(D16="X","/Littleton","")&amp;IF(I16="X","/Maynard","")&amp;IF(J16="X","/Stow","")&amp;IF(H16="X","/Sudbury","")&amp;IF(E16="X","/Westford","")&amp;IF(ISBLANK(AC16),""," "&amp;AC16) &amp;IF(OR(B16="Street Crossing",B16="Witness")," "&amp;K16,"")</f>
        <v>Acton/Concord Keefe Road</v>
      </c>
      <c r="B16" s="2" t="s">
        <v>40</v>
      </c>
      <c r="G16" s="4" t="s">
        <v>41</v>
      </c>
      <c r="K16" s="2" t="s">
        <v>121</v>
      </c>
      <c r="L16" s="2" t="s">
        <v>115</v>
      </c>
      <c r="M16" s="2" t="s">
        <v>122</v>
      </c>
      <c r="N16" s="2" t="s">
        <v>123</v>
      </c>
      <c r="O16" s="12" t="n">
        <v>45989</v>
      </c>
      <c r="P16" s="2" t="s">
        <v>124</v>
      </c>
      <c r="Q16" s="2" t="s">
        <v>125</v>
      </c>
      <c r="R16" s="2" t="s">
        <v>126</v>
      </c>
      <c r="S16" s="4" t="s">
        <v>46</v>
      </c>
      <c r="T16" s="20" t="s">
        <v>127</v>
      </c>
      <c r="U16" s="4" t="n">
        <f aca="false">IF(ISBLANK(T16),"",ABS(TRUNC(T16)))</f>
        <v>42</v>
      </c>
      <c r="V16" s="15" t="n">
        <f aca="false">IF(ISBLANK(T16),"",TRUNC(ABS(T16-TRUNC(T16))*60))</f>
        <v>28</v>
      </c>
      <c r="W16" s="16" t="n">
        <f aca="false">IF(ISBLANK(T16),"",(T16 -(U16+V16/60))*60*60)</f>
        <v>20.3339999999997</v>
      </c>
      <c r="X16" s="14" t="s">
        <v>128</v>
      </c>
      <c r="Y16" s="4" t="n">
        <f aca="false">ABS(TRUNC(X16))</f>
        <v>71</v>
      </c>
      <c r="Z16" s="15" t="n">
        <f aca="false">TRUNC(ABS(X16-TRUNC(X16))*60)</f>
        <v>24</v>
      </c>
      <c r="AA16" s="16" t="n">
        <f aca="false">(ABS(X16) -(Y16+Z16/60))*60*60</f>
        <v>23.7491999999975</v>
      </c>
      <c r="AB16" s="17" t="str">
        <f aca="false">IF(ISBLANK(T16),"","https://openstreetmap.org/?mlat="&amp;T16&amp;"&amp;mlon="&amp;X16&amp;"#map=16/"&amp;T16&amp;"/"&amp;X16)</f>
        <v>https://openstreetmap.org/?mlat=42.472315&amp;mlon=-71.406597#map=16/42.472315/-71.406597</v>
      </c>
      <c r="AD16" s="15" t="n">
        <v>7</v>
      </c>
      <c r="AE16" s="4" t="s">
        <v>129</v>
      </c>
    </row>
    <row r="17" customFormat="false" ht="52.2" hidden="false" customHeight="false" outlineLevel="0" collapsed="false">
      <c r="A17" s="2" t="str">
        <f aca="false">"Acton"&amp;IF(C17="X","/Boxborough","")&amp;IF(F17="X","/Carlisle","")&amp;IF(G17="X","/Concord","")&amp;IF(D17="X","/Littleton","")&amp;IF(I17="X","/Maynard","")&amp;IF(J17="X","/Stow","")&amp;IF(H17="X","/Sudbury","")&amp;IF(E17="X","/Westford","")&amp;IF(ISBLANK(AC17),""," "&amp;AC17) &amp;IF(OR(B17="Street Crossing",B17="Witness")," "&amp;K17,"")</f>
        <v>Acton/Concord Knox Trail</v>
      </c>
      <c r="B17" s="2" t="s">
        <v>40</v>
      </c>
      <c r="G17" s="4" t="s">
        <v>41</v>
      </c>
      <c r="K17" s="2" t="s">
        <v>130</v>
      </c>
      <c r="L17" s="2"/>
      <c r="M17" s="2"/>
      <c r="N17" s="2" t="s">
        <v>56</v>
      </c>
      <c r="O17" s="12" t="n">
        <v>45770</v>
      </c>
      <c r="P17" s="2" t="s">
        <v>131</v>
      </c>
      <c r="Q17" s="2" t="s">
        <v>64</v>
      </c>
      <c r="R17" s="2"/>
      <c r="S17" s="4" t="s">
        <v>59</v>
      </c>
      <c r="T17" s="14" t="s">
        <v>132</v>
      </c>
      <c r="U17" s="4" t="n">
        <f aca="false">IF(ISBLANK(T17),"",ABS(TRUNC(T17)))</f>
        <v>42</v>
      </c>
      <c r="V17" s="15" t="n">
        <f aca="false">IF(ISBLANK(T17),"",TRUNC(ABS(T17-TRUNC(T17))*60))</f>
        <v>26</v>
      </c>
      <c r="W17" s="16" t="n">
        <f aca="false">IF(ISBLANK(T17),"",(T17 -(U17+V17/60))*60*60)</f>
        <v>31.9272000000183</v>
      </c>
      <c r="X17" s="14" t="s">
        <v>133</v>
      </c>
      <c r="Y17" s="4" t="n">
        <f aca="false">ABS(TRUNC(X17))</f>
        <v>71</v>
      </c>
      <c r="Z17" s="15" t="n">
        <f aca="false">TRUNC(ABS(X17-TRUNC(X17))*60)</f>
        <v>25</v>
      </c>
      <c r="AA17" s="16" t="n">
        <f aca="false">(ABS(X17) -(Y17+Z17/60))*60*60</f>
        <v>36.7391999999938</v>
      </c>
      <c r="AB17" s="17" t="str">
        <f aca="false">IF(ISBLANK(T17),"","https://openstreetmap.org/?mlat="&amp;T17&amp;"&amp;mlon="&amp;X17&amp;"#map=16/"&amp;T17&amp;"/"&amp;X17)</f>
        <v>https://openstreetmap.org/?mlat=42.442202&amp;mlon=-71.426872#map=16/42.442202/-71.426872</v>
      </c>
      <c r="AD17" s="15" t="n">
        <v>3</v>
      </c>
      <c r="AE17" s="4" t="s">
        <v>134</v>
      </c>
    </row>
    <row r="18" customFormat="false" ht="26.85" hidden="false" customHeight="false" outlineLevel="0" collapsed="false">
      <c r="A18" s="2" t="str">
        <f aca="false">"Acton"&amp;IF(C18="X","/Boxborough","")&amp;IF(F18="X","/Carlisle","")&amp;IF(G18="X","/Concord","")&amp;IF(D18="X","/Littleton","")&amp;IF(I18="X","/Maynard","")&amp;IF(J18="X","/Stow","")&amp;IF(H18="X","/Sudbury","")&amp;IF(E18="X","/Westford","")&amp;IF(ISBLANK(AC18),""," "&amp;AC18) &amp;IF(OR(B18="Street Crossing",B18="Witness")," "&amp;K18,"")</f>
        <v>Acton/Concord Laws Brook Road</v>
      </c>
      <c r="B18" s="2" t="s">
        <v>40</v>
      </c>
      <c r="G18" s="4" t="s">
        <v>41</v>
      </c>
      <c r="K18" s="2" t="s">
        <v>135</v>
      </c>
      <c r="L18" s="2"/>
      <c r="M18" s="2"/>
      <c r="N18" s="2" t="s">
        <v>43</v>
      </c>
      <c r="O18" s="12" t="n">
        <v>45838</v>
      </c>
      <c r="P18" s="2" t="s">
        <v>136</v>
      </c>
      <c r="Q18" s="2" t="s">
        <v>137</v>
      </c>
      <c r="R18" s="2"/>
      <c r="S18" s="4" t="s">
        <v>46</v>
      </c>
      <c r="T18" s="14" t="s">
        <v>138</v>
      </c>
      <c r="U18" s="4" t="n">
        <f aca="false">IF(ISBLANK(T18),"",ABS(TRUNC(T18)))</f>
        <v>42</v>
      </c>
      <c r="V18" s="15" t="n">
        <f aca="false">IF(ISBLANK(T18),"",TRUNC(ABS(T18-TRUNC(T18))*60))</f>
        <v>27</v>
      </c>
      <c r="W18" s="16" t="n">
        <f aca="false">IF(ISBLANK(T18),"",(T18 -(U18+V18/60))*60*60)</f>
        <v>35.4923999999954</v>
      </c>
      <c r="X18" s="14" t="s">
        <v>139</v>
      </c>
      <c r="Y18" s="4" t="n">
        <f aca="false">IF(ISBLANK(X18),"",ABS(TRUNC(X18)))</f>
        <v>71</v>
      </c>
      <c r="Z18" s="15" t="n">
        <f aca="false">IF(ISBLANK(X18),"",TRUNC(ABS(X18-TRUNC(X18))*60))</f>
        <v>24</v>
      </c>
      <c r="AA18" s="16" t="n">
        <f aca="false">IF(ISBLANK(X18),"",(ABS(X18) -(Y18+Z18/60))*60*60)</f>
        <v>53.9459999999849</v>
      </c>
      <c r="AB18" s="17" t="str">
        <f aca="false">IF(ISBLANK(T18),"","https://openstreetmap.org/?mlat="&amp;T18&amp;"&amp;mlon="&amp;X18&amp;"#map=16/"&amp;T18&amp;"/"&amp;X18)</f>
        <v>https://openstreetmap.org/?mlat=42.459859&amp;mlon=-71.414985#map=16/42.459859/-71.414985</v>
      </c>
      <c r="AD18" s="15" t="n">
        <v>5</v>
      </c>
    </row>
    <row r="19" customFormat="false" ht="26.85" hidden="false" customHeight="false" outlineLevel="0" collapsed="false">
      <c r="A19" s="2" t="str">
        <f aca="false">"Acton"&amp;IF(C19="X","/Boxborough","")&amp;IF(F19="X","/Carlisle","")&amp;IF(G19="X","/Concord","")&amp;IF(D19="X","/Littleton","")&amp;IF(I19="X","/Maynard","")&amp;IF(J19="X","/Stow","")&amp;IF(H19="X","/Sudbury","")&amp;IF(E19="X","/Westford","")&amp;IF(ISBLANK(AC19),""," "&amp;AC19) &amp;IF(OR(B19="Street Crossing",B19="Witness")," "&amp;K19,"")</f>
        <v>Acton/Concord Old Stow Road</v>
      </c>
      <c r="B19" s="2" t="s">
        <v>40</v>
      </c>
      <c r="G19" s="4" t="s">
        <v>41</v>
      </c>
      <c r="K19" s="2" t="s">
        <v>140</v>
      </c>
      <c r="L19" s="2"/>
      <c r="M19" s="2" t="s">
        <v>141</v>
      </c>
      <c r="N19" s="2" t="s">
        <v>43</v>
      </c>
      <c r="O19" s="2" t="s">
        <v>142</v>
      </c>
      <c r="P19" s="2" t="s">
        <v>143</v>
      </c>
      <c r="Q19" s="2" t="s">
        <v>144</v>
      </c>
      <c r="R19" s="2"/>
      <c r="S19" s="4" t="s">
        <v>46</v>
      </c>
      <c r="T19" s="20" t="s">
        <v>145</v>
      </c>
      <c r="U19" s="4" t="n">
        <f aca="false">IF(ISBLANK(T19),"",ABS(TRUNC(T19)))</f>
        <v>42</v>
      </c>
      <c r="V19" s="15" t="n">
        <f aca="false">IF(ISBLANK(T19),"",TRUNC(ABS(T19-TRUNC(T19))*60))</f>
        <v>27</v>
      </c>
      <c r="W19" s="16" t="n">
        <f aca="false">IF(ISBLANK(T19),"",(T19 -(U19+V19/60))*60*60)</f>
        <v>24.6563999999836</v>
      </c>
      <c r="X19" s="14" t="s">
        <v>146</v>
      </c>
      <c r="Y19" s="4" t="n">
        <f aca="false">IF(ISBLANK(X19),"",ABS(TRUNC(X19)))</f>
        <v>71</v>
      </c>
      <c r="Z19" s="15" t="n">
        <f aca="false">IF(ISBLANK(X19),"",TRUNC(ABS(X19-TRUNC(X19))*60))</f>
        <v>25</v>
      </c>
      <c r="AA19" s="16" t="n">
        <f aca="false">IF(ISBLANK(X19),"",(ABS(X19) -(Y19+Z19/60))*60*60)</f>
        <v>1.21799999999439</v>
      </c>
      <c r="AB19" s="17" t="str">
        <f aca="false">IF(ISBLANK(T19),"","https://openstreetmap.org/?mlat="&amp;T19&amp;"&amp;mlon="&amp;X19&amp;"#map=16/"&amp;T19&amp;"/"&amp;X19)</f>
        <v>https://openstreetmap.org/?mlat=42.456849&amp;mlon=-71.417005#map=16/42.456849/-71.417005</v>
      </c>
      <c r="AD19" s="15" t="n">
        <v>4</v>
      </c>
    </row>
    <row r="20" customFormat="false" ht="39.55" hidden="false" customHeight="false" outlineLevel="0" collapsed="false">
      <c r="A20" s="2" t="str">
        <f aca="false">"Acton"&amp;IF(C20="X","/Boxborough","")&amp;IF(F20="X","/Carlisle","")&amp;IF(G20="X","/Concord","")&amp;IF(D20="X","/Littleton","")&amp;IF(I20="X","/Maynard","")&amp;IF(J20="X","/Stow","")&amp;IF(H20="X","/Sudbury","")&amp;IF(E20="X","/Westford","")&amp;IF(ISBLANK(AC20),""," "&amp;AC20) &amp;IF(OR(B20="Street Crossing",B20="Witness")," "&amp;K20,"")</f>
        <v>Acton/Concord Pope Road</v>
      </c>
      <c r="B20" s="2" t="s">
        <v>40</v>
      </c>
      <c r="G20" s="4" t="s">
        <v>41</v>
      </c>
      <c r="K20" s="2" t="s">
        <v>147</v>
      </c>
      <c r="L20" s="2"/>
      <c r="M20" s="2" t="s">
        <v>148</v>
      </c>
      <c r="N20" s="2" t="s">
        <v>43</v>
      </c>
      <c r="O20" s="12" t="n">
        <v>45838</v>
      </c>
      <c r="P20" s="2"/>
      <c r="Q20" s="13" t="s">
        <v>149</v>
      </c>
      <c r="R20" s="2"/>
      <c r="S20" s="4" t="s">
        <v>46</v>
      </c>
      <c r="T20" s="14" t="s">
        <v>150</v>
      </c>
      <c r="U20" s="4" t="n">
        <f aca="false">IF(ISBLANK(T20),"",ABS(TRUNC(T20)))</f>
        <v>42</v>
      </c>
      <c r="V20" s="15" t="n">
        <f aca="false">IF(ISBLANK(T20),"",TRUNC(ABS(T20-TRUNC(T20))*60))</f>
        <v>30</v>
      </c>
      <c r="W20" s="16" t="n">
        <f aca="false">IF(ISBLANK(T20),"",(T20 -(U20+V20/60))*60*60)</f>
        <v>11.9375999999932</v>
      </c>
      <c r="X20" s="14" t="s">
        <v>151</v>
      </c>
      <c r="Y20" s="4" t="n">
        <f aca="false">IF(ISBLANK(X20),"",ABS(TRUNC(X20)))</f>
        <v>71</v>
      </c>
      <c r="Z20" s="15" t="n">
        <f aca="false">IF(ISBLANK(X20),"",TRUNC(ABS(X20-TRUNC(X20))*60))</f>
        <v>23</v>
      </c>
      <c r="AA20" s="16" t="n">
        <f aca="false">IF(ISBLANK(X20),"",(ABS(X20) -(Y20+Z20/60))*60*60)</f>
        <v>8.54159999997251</v>
      </c>
      <c r="AB20" s="17" t="str">
        <f aca="false">IF(ISBLANK(T20),"","https://openstreetmap.org/?mlat="&amp;T20&amp;"&amp;mlon="&amp;X20&amp;"#map=16/"&amp;T20&amp;"/"&amp;X20)</f>
        <v>https://openstreetmap.org/?mlat=42.503316&amp;mlon=-71.385706#map=16/42.503316/-71.385706</v>
      </c>
      <c r="AD20" s="15" t="n">
        <v>11</v>
      </c>
    </row>
    <row r="21" customFormat="false" ht="64.9" hidden="false" customHeight="false" outlineLevel="0" collapsed="false">
      <c r="A21" s="2" t="str">
        <f aca="false">"Acton"&amp;IF(C21="X","/Boxborough","")&amp;IF(F21="X","/Carlisle","")&amp;IF(G21="X","/Concord","")&amp;IF(D21="X","/Littleton","")&amp;IF(I21="X","/Maynard","")&amp;IF(J21="X","/Stow","")&amp;IF(H21="X","/Sudbury","")&amp;IF(E21="X","/Westford","")&amp;IF(ISBLANK(AC21),""," "&amp;AC21) &amp;IF(OR(B21="Street Crossing",B21="Witness")," "&amp;K21,"")</f>
        <v>Acton/Concord Powder Mill Road (Rte 62)</v>
      </c>
      <c r="B21" s="2" t="s">
        <v>40</v>
      </c>
      <c r="G21" s="4" t="s">
        <v>41</v>
      </c>
      <c r="K21" s="2" t="s">
        <v>152</v>
      </c>
      <c r="L21" s="2"/>
      <c r="M21" s="2"/>
      <c r="N21" s="2" t="s">
        <v>56</v>
      </c>
      <c r="O21" s="12" t="n">
        <v>45770</v>
      </c>
      <c r="P21" s="2" t="s">
        <v>153</v>
      </c>
      <c r="Q21" s="2" t="s">
        <v>154</v>
      </c>
      <c r="R21" s="2"/>
      <c r="S21" s="4" t="s">
        <v>59</v>
      </c>
      <c r="T21" s="14" t="s">
        <v>155</v>
      </c>
      <c r="U21" s="4" t="n">
        <f aca="false">ABS(TRUNC(T21))</f>
        <v>42</v>
      </c>
      <c r="V21" s="15" t="n">
        <f aca="false">TRUNC(ABS(T21-TRUNC(T21))*60)</f>
        <v>26</v>
      </c>
      <c r="W21" s="16" t="n">
        <f aca="false">(T21 -(U21+V21/60))*60*60</f>
        <v>30.7500000000232</v>
      </c>
      <c r="X21" s="14" t="s">
        <v>156</v>
      </c>
      <c r="Y21" s="4" t="n">
        <f aca="false">ABS(TRUNC(X21))</f>
        <v>71</v>
      </c>
      <c r="Z21" s="15" t="n">
        <f aca="false">TRUNC(ABS(X21-TRUNC(X21))*60)</f>
        <v>25</v>
      </c>
      <c r="AA21" s="16" t="n">
        <f aca="false">(ABS(X21) -(Y21+Z21/60))*60*60</f>
        <v>37.4915999999871</v>
      </c>
      <c r="AB21" s="17" t="str">
        <f aca="false">IF(ISBLANK(T21),"","https://openstreetmap.org/?mlat="&amp;T21&amp;"&amp;mlon="&amp;X21&amp;"#map=16/"&amp;T21&amp;"/"&amp;X21)</f>
        <v>https://openstreetmap.org/?mlat=42.441875&amp;mlon=-71.427081#map=16/42.441875/-71.427081</v>
      </c>
      <c r="AD21" s="15" t="n">
        <v>2</v>
      </c>
      <c r="AE21" s="4" t="s">
        <v>157</v>
      </c>
    </row>
    <row r="22" customFormat="false" ht="52.2" hidden="false" customHeight="false" outlineLevel="0" collapsed="false">
      <c r="A22" s="2" t="str">
        <f aca="false">"Acton"&amp;IF(C22="X","/Boxborough","")&amp;IF(F22="X","/Carlisle","")&amp;IF(G22="X","/Concord","")&amp;IF(D22="X","/Littleton","")&amp;IF(I22="X","/Maynard","")&amp;IF(J22="X","/Stow","")&amp;IF(H22="X","/Sudbury","")&amp;IF(E22="X","/Westford","")&amp;IF(ISBLANK(AC22),""," "&amp;AC22) &amp;IF(OR(B22="Street Crossing",B22="Witness")," "&amp;K22,"")</f>
        <v>Acton/Concord Rte 2</v>
      </c>
      <c r="B22" s="2" t="s">
        <v>40</v>
      </c>
      <c r="G22" s="4" t="s">
        <v>41</v>
      </c>
      <c r="K22" s="2" t="s">
        <v>62</v>
      </c>
      <c r="L22" s="2"/>
      <c r="M22" s="2" t="s">
        <v>158</v>
      </c>
      <c r="N22" s="2" t="s">
        <v>56</v>
      </c>
      <c r="O22" s="12" t="n">
        <v>45405</v>
      </c>
      <c r="P22" s="2" t="s">
        <v>159</v>
      </c>
      <c r="Q22" s="2" t="s">
        <v>58</v>
      </c>
      <c r="R22" s="2"/>
      <c r="S22" s="4" t="s">
        <v>59</v>
      </c>
      <c r="T22" s="14" t="s">
        <v>160</v>
      </c>
      <c r="U22" s="4" t="n">
        <f aca="false">IF(ISBLANK(T22),"",ABS(TRUNC(T22)))</f>
        <v>42</v>
      </c>
      <c r="V22" s="15" t="n">
        <f aca="false">IF(ISBLANK(T22),"",TRUNC(ABS(T22-TRUNC(T22))*60))</f>
        <v>28</v>
      </c>
      <c r="W22" s="16" t="n">
        <f aca="false">IF(ISBLANK(T22),"",(T22 -(U22+V22/60))*60*60)</f>
        <v>9.314399999991</v>
      </c>
      <c r="X22" s="14" t="s">
        <v>161</v>
      </c>
      <c r="Y22" s="4" t="n">
        <f aca="false">ABS(TRUNC(X22))</f>
        <v>71</v>
      </c>
      <c r="Z22" s="15" t="n">
        <f aca="false">TRUNC(ABS(X22-TRUNC(X22))*60)</f>
        <v>24</v>
      </c>
      <c r="AA22" s="16" t="n">
        <f aca="false">(ABS(X22) -(Y22+Z22/60))*60*60</f>
        <v>31.1759999999708</v>
      </c>
      <c r="AB22" s="17" t="str">
        <f aca="false">IF(ISBLANK(T22),"","https://openstreetmap.org/?mlat="&amp;T22&amp;"&amp;mlon="&amp;X22&amp;"#map=16/"&amp;T22&amp;"/"&amp;X22)</f>
        <v>https://openstreetmap.org/?mlat=42.469254&amp;mlon=-71.408660#map=16/42.469254/-71.408660</v>
      </c>
      <c r="AD22" s="15" t="n">
        <v>6</v>
      </c>
      <c r="AE22" s="4" t="s">
        <v>162</v>
      </c>
    </row>
    <row r="23" customFormat="false" ht="39.55" hidden="false" customHeight="false" outlineLevel="0" collapsed="false">
      <c r="A23" s="2" t="str">
        <f aca="false">"Acton"&amp;IF(C23="X","/Boxborough","")&amp;IF(F23="X","/Carlisle","")&amp;IF(G23="X","/Concord","")&amp;IF(D23="X","/Littleton","")&amp;IF(I23="X","/Maynard","")&amp;IF(J23="X","/Stow","")&amp;IF(H23="X","/Sudbury","")&amp;IF(E23="X","/Westford","")&amp;IF(ISBLANK(AC23),""," "&amp;AC23) &amp;IF(OR(B23="Street Crossing",B23="Witness")," "&amp;K23,"")</f>
        <v>Acton/Concord Spencer Brook Road</v>
      </c>
      <c r="B23" s="2" t="s">
        <v>40</v>
      </c>
      <c r="G23" s="4" t="s">
        <v>41</v>
      </c>
      <c r="K23" s="2" t="s">
        <v>163</v>
      </c>
      <c r="L23" s="2"/>
      <c r="M23" s="2"/>
      <c r="N23" s="2" t="s">
        <v>43</v>
      </c>
      <c r="O23" s="12" t="n">
        <v>45838</v>
      </c>
      <c r="P23" s="2" t="s">
        <v>164</v>
      </c>
      <c r="Q23" s="2" t="s">
        <v>165</v>
      </c>
      <c r="R23" s="2"/>
      <c r="S23" s="4" t="s">
        <v>46</v>
      </c>
      <c r="T23" s="14" t="s">
        <v>166</v>
      </c>
      <c r="U23" s="4" t="n">
        <f aca="false">IF(ISBLANK(T23),"",ABS(TRUNC(T23)))</f>
        <v>42</v>
      </c>
      <c r="V23" s="15" t="n">
        <f aca="false">IF(ISBLANK(T23),"",TRUNC(ABS(T23-TRUNC(T23))*60))</f>
        <v>30</v>
      </c>
      <c r="W23" s="16" t="n">
        <f aca="false">IF(ISBLANK(T23),"",(T23 -(U23+V23/60))*60*60)</f>
        <v>8.32680000000323</v>
      </c>
      <c r="X23" s="14" t="s">
        <v>167</v>
      </c>
      <c r="Y23" s="4" t="n">
        <f aca="false">ABS(TRUNC(X23))</f>
        <v>71</v>
      </c>
      <c r="Z23" s="15" t="n">
        <f aca="false">TRUNC(ABS(X23-TRUNC(X23))*60)</f>
        <v>23</v>
      </c>
      <c r="AA23" s="16" t="n">
        <f aca="false">(ABS(X23) -(Y23+Z23/60))*60*60</f>
        <v>11.0435999999993</v>
      </c>
      <c r="AB23" s="17" t="str">
        <f aca="false">IF(ISBLANK(T23),"","https://openstreetmap.org/?mlat="&amp;T23&amp;"&amp;mlon="&amp;X23&amp;"#map=16/"&amp;T23&amp;"/"&amp;X23)</f>
        <v>https://openstreetmap.org/?mlat=42.502313&amp;mlon=-71.386401#map=16/42.502313/-71.386401</v>
      </c>
      <c r="AD23" s="15" t="n">
        <v>10</v>
      </c>
    </row>
    <row r="24" customFormat="false" ht="26.85" hidden="false" customHeight="false" outlineLevel="0" collapsed="false">
      <c r="A24" s="2" t="str">
        <f aca="false">"Acton"&amp;IF(C24="X","/Boxborough","")&amp;IF(F24="X","/Carlisle","")&amp;IF(G24="X","/Concord","")&amp;IF(D24="X","/Littleton","")&amp;IF(I24="X","/Maynard","")&amp;IF(J24="X","/Stow","")&amp;IF(H24="X","/Sudbury","")&amp;IF(E24="X","/Westford","")&amp;IF(ISBLANK(AC24),""," "&amp;AC24) &amp;IF(OR(B24="Street Crossing",B24="Witness")," "&amp;K24,"")</f>
        <v>Acton/Concord Strawberry Hill Road</v>
      </c>
      <c r="B24" s="2" t="s">
        <v>40</v>
      </c>
      <c r="G24" s="4" t="s">
        <v>41</v>
      </c>
      <c r="K24" s="2" t="s">
        <v>168</v>
      </c>
      <c r="L24" s="2"/>
      <c r="M24" s="2"/>
      <c r="N24" s="2" t="s">
        <v>43</v>
      </c>
      <c r="O24" s="12" t="n">
        <v>45838</v>
      </c>
      <c r="P24" s="2"/>
      <c r="Q24" s="13" t="s">
        <v>169</v>
      </c>
      <c r="R24" s="2"/>
      <c r="S24" s="4" t="s">
        <v>46</v>
      </c>
      <c r="T24" s="14" t="s">
        <v>170</v>
      </c>
      <c r="U24" s="4" t="n">
        <f aca="false">IF(ISBLANK(T24),"",ABS(TRUNC(T24)))</f>
        <v>42</v>
      </c>
      <c r="V24" s="15" t="n">
        <f aca="false">IF(ISBLANK(T24),"",TRUNC(ABS(T24-TRUNC(T24))*60))</f>
        <v>29</v>
      </c>
      <c r="W24" s="16" t="n">
        <f aca="false">IF(ISBLANK(T24),"",(T24 -(U24+V24/60))*60*60)</f>
        <v>28.4388000000007</v>
      </c>
      <c r="X24" s="14" t="s">
        <v>171</v>
      </c>
      <c r="Y24" s="4" t="n">
        <f aca="false">ABS(TRUNC(X24))</f>
        <v>71</v>
      </c>
      <c r="Z24" s="15" t="n">
        <f aca="false">TRUNC(ABS(X24-TRUNC(X24))*60)</f>
        <v>23</v>
      </c>
      <c r="AA24" s="16" t="n">
        <f aca="false">(ABS(X24) -(Y24+Z24/60))*60*60</f>
        <v>37.7051999999594</v>
      </c>
      <c r="AB24" s="17" t="str">
        <f aca="false">IF(ISBLANK(T24),"","https://openstreetmap.org/?mlat="&amp;T24&amp;"&amp;mlon="&amp;X24&amp;"#map=16/"&amp;T24&amp;"/"&amp;X24)</f>
        <v>https://openstreetmap.org/?mlat=42.491233&amp;mlon=-71.393807#map=16/42.491233/-71.393807</v>
      </c>
      <c r="AD24" s="15" t="n">
        <v>9</v>
      </c>
    </row>
    <row r="25" customFormat="false" ht="204.45" hidden="false" customHeight="false" outlineLevel="0" collapsed="false">
      <c r="A25" s="2" t="str">
        <f aca="false">"Acton"&amp;IF(C25="X","/Boxborough","")&amp;IF(F25="X","/Carlisle","")&amp;IF(G25="X","/Concord","")&amp;IF(D25="X","/Littleton","")&amp;IF(I25="X","/Maynard","")&amp;IF(J25="X","/Stow","")&amp;IF(H25="X","/Sudbury","")&amp;IF(E25="X","/Westford","")&amp;IF(ISBLANK(AC25),""," "&amp;AC25) &amp;IF(OR(B25="Street Crossing",B25="Witness")," "&amp;K25,"")</f>
        <v>Acton/Concord/Maynard/Sudbury</v>
      </c>
      <c r="B25" s="2" t="s">
        <v>72</v>
      </c>
      <c r="G25" s="4" t="s">
        <v>41</v>
      </c>
      <c r="H25" s="4" t="s">
        <v>41</v>
      </c>
      <c r="I25" s="4" t="s">
        <v>41</v>
      </c>
      <c r="K25" s="2" t="s">
        <v>172</v>
      </c>
      <c r="L25" s="2"/>
      <c r="M25" s="2" t="s">
        <v>173</v>
      </c>
      <c r="N25" s="2" t="s">
        <v>43</v>
      </c>
      <c r="O25" s="21" t="s">
        <v>174</v>
      </c>
      <c r="P25" s="2" t="s">
        <v>175</v>
      </c>
      <c r="Q25" s="2" t="s">
        <v>176</v>
      </c>
      <c r="R25" s="2" t="s">
        <v>177</v>
      </c>
      <c r="S25" s="4" t="s">
        <v>77</v>
      </c>
      <c r="T25" s="4" t="n">
        <v>42.436947994</v>
      </c>
      <c r="U25" s="4" t="n">
        <f aca="false">ABS(TRUNC(T25))</f>
        <v>42</v>
      </c>
      <c r="V25" s="15" t="n">
        <f aca="false">TRUNC(ABS(T25-TRUNC(T25))*60)</f>
        <v>26</v>
      </c>
      <c r="W25" s="16" t="n">
        <f aca="false">(T25 -(U25+V25/60))*60*60</f>
        <v>13.0127784000138</v>
      </c>
      <c r="X25" s="4" t="n">
        <v>-71.430394779</v>
      </c>
      <c r="Y25" s="4" t="n">
        <f aca="false">ABS(TRUNC(X25))</f>
        <v>71</v>
      </c>
      <c r="Z25" s="15" t="n">
        <f aca="false">TRUNC(ABS(X25-TRUNC(X25))*60)</f>
        <v>25</v>
      </c>
      <c r="AA25" s="16" t="n">
        <f aca="false">(ABS(X25) -(Y25+Z25/60))*60*60</f>
        <v>49.421204399971</v>
      </c>
      <c r="AB25" s="17" t="str">
        <f aca="false">IF(ISBLANK(T25),"","https://openstreetmap.org/?mlat="&amp;T25&amp;"&amp;mlon="&amp;X25&amp;"#map=16/"&amp;T25&amp;"/"&amp;X25)</f>
        <v>https://openstreetmap.org/?mlat=42.436947994&amp;mlon=-71.430394779#map=16/42.436947994/-71.430394779</v>
      </c>
      <c r="AD25" s="15" t="n">
        <v>1</v>
      </c>
    </row>
    <row r="26" customFormat="false" ht="382.05" hidden="false" customHeight="false" outlineLevel="0" collapsed="false">
      <c r="A26" s="2" t="str">
        <f aca="false">"Acton"&amp;IF(C26="X","/Boxborough","")&amp;IF(F26="X","/Carlisle","")&amp;IF(G26="X","/Concord","")&amp;IF(D26="X","/Littleton","")&amp;IF(I26="X","/Maynard","")&amp;IF(J26="X","/Stow","")&amp;IF(H26="X","/Sudbury","")&amp;IF(E26="X","/Westford","")&amp;IF(ISBLANK(AC26),""," "&amp;AC26) &amp;IF(OR(B26="Street Crossing",B26="Witness")," "&amp;K26,"")</f>
        <v>Acton/Littleton 1</v>
      </c>
      <c r="B26" s="2" t="s">
        <v>72</v>
      </c>
      <c r="D26" s="4" t="s">
        <v>41</v>
      </c>
      <c r="K26" s="2" t="s">
        <v>178</v>
      </c>
      <c r="L26" s="2"/>
      <c r="M26" s="2" t="s">
        <v>179</v>
      </c>
      <c r="N26" s="2" t="s">
        <v>180</v>
      </c>
      <c r="O26" s="12" t="n">
        <v>45810</v>
      </c>
      <c r="P26" s="2" t="s">
        <v>181</v>
      </c>
      <c r="Q26" s="13" t="s">
        <v>182</v>
      </c>
      <c r="R26" s="2" t="s">
        <v>183</v>
      </c>
      <c r="S26" s="4" t="s">
        <v>77</v>
      </c>
      <c r="T26" s="4" t="n">
        <v>42.5221791480001</v>
      </c>
      <c r="U26" s="4" t="n">
        <f aca="false">ABS(TRUNC(T26))</f>
        <v>42</v>
      </c>
      <c r="V26" s="15" t="n">
        <f aca="false">TRUNC(ABS(T26-TRUNC(T26))*60)</f>
        <v>31</v>
      </c>
      <c r="W26" s="16" t="n">
        <f aca="false">(T26 -(U26+V26/60))*60*60</f>
        <v>19.8449328003591</v>
      </c>
      <c r="X26" s="4" t="n">
        <v>-71.435017906</v>
      </c>
      <c r="Y26" s="4" t="n">
        <f aca="false">ABS(TRUNC(X26))</f>
        <v>71</v>
      </c>
      <c r="Z26" s="15" t="n">
        <f aca="false">TRUNC(ABS(X26-TRUNC(X26))*60)</f>
        <v>26</v>
      </c>
      <c r="AA26" s="16" t="n">
        <f aca="false">(ABS(X26) -(Y26+Z26/60))*60*60</f>
        <v>6.064461599982</v>
      </c>
      <c r="AB26" s="17" t="str">
        <f aca="false">IF(ISBLANK(T26),"","https://openstreetmap.org/?mlat="&amp;T26&amp;"&amp;mlon="&amp;X26&amp;"#map=16/"&amp;T26&amp;"/"&amp;X26)</f>
        <v>https://openstreetmap.org/?mlat=42.5221791480001&amp;mlon=-71.435017906#map=16/42.5221791480001/-71.435017906</v>
      </c>
      <c r="AC26" s="4" t="n">
        <v>1</v>
      </c>
      <c r="AD26" s="15" t="n">
        <v>26</v>
      </c>
      <c r="AE26" s="4" t="s">
        <v>184</v>
      </c>
    </row>
    <row r="27" customFormat="false" ht="90.25" hidden="false" customHeight="false" outlineLevel="0" collapsed="false">
      <c r="A27" s="2" t="str">
        <f aca="false">"Acton"&amp;IF(C27="X","/Boxborough","")&amp;IF(F27="X","/Carlisle","")&amp;IF(G27="X","/Concord","")&amp;IF(D27="X","/Littleton","")&amp;IF(I27="X","/Maynard","")&amp;IF(J27="X","/Stow","")&amp;IF(H27="X","/Sudbury","")&amp;IF(E27="X","/Westford","")&amp;IF(ISBLANK(AC27),""," "&amp;AC27) &amp;IF(OR(B27="Street Crossing",B27="Witness")," "&amp;K27,"")</f>
        <v>Acton/Littleton 2</v>
      </c>
      <c r="B27" s="2" t="s">
        <v>72</v>
      </c>
      <c r="D27" s="4" t="s">
        <v>41</v>
      </c>
      <c r="K27" s="2" t="s">
        <v>185</v>
      </c>
      <c r="L27" s="2"/>
      <c r="M27" s="2" t="s">
        <v>186</v>
      </c>
      <c r="N27" s="2" t="s">
        <v>43</v>
      </c>
      <c r="O27" s="12" t="n">
        <v>45810</v>
      </c>
      <c r="P27" s="2" t="s">
        <v>187</v>
      </c>
      <c r="Q27" s="13" t="s">
        <v>188</v>
      </c>
      <c r="R27" s="2"/>
      <c r="S27" s="4" t="s">
        <v>77</v>
      </c>
      <c r="T27" s="4" t="n">
        <v>42.509068563</v>
      </c>
      <c r="U27" s="4" t="n">
        <f aca="false">ABS(TRUNC(T27))</f>
        <v>42</v>
      </c>
      <c r="V27" s="15" t="n">
        <f aca="false">TRUNC(ABS(T27-TRUNC(T27))*60)</f>
        <v>30</v>
      </c>
      <c r="W27" s="16" t="n">
        <f aca="false">(T27 -(U27+V27/60))*60*60</f>
        <v>32.6468267999985</v>
      </c>
      <c r="X27" s="4" t="n">
        <v>-71.443940303</v>
      </c>
      <c r="Y27" s="4" t="n">
        <f aca="false">ABS(TRUNC(X27))</f>
        <v>71</v>
      </c>
      <c r="Z27" s="15" t="n">
        <f aca="false">TRUNC(ABS(X27-TRUNC(X27))*60)</f>
        <v>26</v>
      </c>
      <c r="AA27" s="16" t="n">
        <f aca="false">(ABS(X27) -(Y27+Z27/60))*60*60</f>
        <v>38.1850908000047</v>
      </c>
      <c r="AB27" s="17" t="str">
        <f aca="false">IF(ISBLANK(T27),"","https://openstreetmap.org/?mlat="&amp;T27&amp;"&amp;mlon="&amp;X27&amp;"#map=16/"&amp;T27&amp;"/"&amp;X27)</f>
        <v>https://openstreetmap.org/?mlat=42.509068563&amp;mlon=-71.443940303#map=16/42.509068563/-71.443940303</v>
      </c>
      <c r="AC27" s="4" t="n">
        <v>2</v>
      </c>
      <c r="AD27" s="15" t="n">
        <v>28</v>
      </c>
    </row>
    <row r="28" customFormat="false" ht="90.25" hidden="false" customHeight="false" outlineLevel="0" collapsed="false">
      <c r="A28" s="2" t="str">
        <f aca="false">"Acton"&amp;IF(C28="X","/Boxborough","")&amp;IF(F28="X","/Carlisle","")&amp;IF(G28="X","/Concord","")&amp;IF(D28="X","/Littleton","")&amp;IF(I28="X","/Maynard","")&amp;IF(J28="X","/Stow","")&amp;IF(H28="X","/Sudbury","")&amp;IF(E28="X","/Westford","")&amp;IF(ISBLANK(AC28),""," "&amp;AC28) &amp;IF(OR(B28="Street Crossing",B28="Witness")," "&amp;K28,"")</f>
        <v>Acton/Littleton Countryside Road</v>
      </c>
      <c r="B28" s="2" t="s">
        <v>40</v>
      </c>
      <c r="D28" s="4" t="s">
        <v>41</v>
      </c>
      <c r="K28" s="2" t="s">
        <v>189</v>
      </c>
      <c r="L28" s="2" t="s">
        <v>189</v>
      </c>
      <c r="M28" s="2"/>
      <c r="N28" s="2" t="s">
        <v>56</v>
      </c>
      <c r="O28" s="12" t="n">
        <v>45741</v>
      </c>
      <c r="P28" s="2" t="s">
        <v>190</v>
      </c>
      <c r="Q28" s="2" t="s">
        <v>64</v>
      </c>
      <c r="R28" s="2"/>
      <c r="S28" s="4" t="s">
        <v>59</v>
      </c>
      <c r="T28" s="14" t="s">
        <v>191</v>
      </c>
      <c r="U28" s="4" t="n">
        <f aca="false">ABS(TRUNC(T28))</f>
        <v>42</v>
      </c>
      <c r="V28" s="15" t="n">
        <f aca="false">TRUNC(ABS(T28-TRUNC(T28))*60)</f>
        <v>30</v>
      </c>
      <c r="W28" s="16" t="n">
        <f aca="false">(T28 -(U28+V28/60))*60*60</f>
        <v>8.4960000000109</v>
      </c>
      <c r="X28" s="14" t="s">
        <v>192</v>
      </c>
      <c r="Y28" s="4" t="n">
        <f aca="false">IF(ISBLANK(X28),"",ABS(TRUNC(X28)))</f>
        <v>71</v>
      </c>
      <c r="Z28" s="15" t="n">
        <f aca="false">IF(ISBLANK(X28),"",TRUNC(ABS(X28-TRUNC(X28))*60))</f>
        <v>27</v>
      </c>
      <c r="AA28" s="16" t="n">
        <f aca="false">IF(ISBLANK(X28),"",(ABS(X28) -(Y28+Z28/60))*60*60)</f>
        <v>58.4639999999865</v>
      </c>
      <c r="AB28" s="17" t="str">
        <f aca="false">IF(ISBLANK(T28),"","https://openstreetmap.org/?mlat="&amp;T28&amp;"&amp;mlon="&amp;X28&amp;"#map=16/"&amp;T28&amp;"/"&amp;X28)</f>
        <v>https://openstreetmap.org/?mlat=42.50236&amp;mlon=-71.46624#map=16/42.50236/-71.46624</v>
      </c>
      <c r="AD28" s="15" t="n">
        <v>33</v>
      </c>
      <c r="AE28" s="4" t="s">
        <v>193</v>
      </c>
    </row>
    <row r="29" customFormat="false" ht="102.95" hidden="false" customHeight="false" outlineLevel="0" collapsed="false">
      <c r="A29" s="2" t="str">
        <f aca="false">"Acton"&amp;IF(C29="X","/Boxborough","")&amp;IF(F29="X","/Carlisle","")&amp;IF(G29="X","/Concord","")&amp;IF(D29="X","/Littleton","")&amp;IF(I29="X","/Maynard","")&amp;IF(J29="X","/Stow","")&amp;IF(H29="X","/Sudbury","")&amp;IF(E29="X","/Westford","")&amp;IF(ISBLANK(AC29),""," "&amp;AC29) &amp;IF(OR(B29="Street Crossing",B29="Witness")," "&amp;K29,"")</f>
        <v>Acton/Littleton Fort Pond Road</v>
      </c>
      <c r="B29" s="2" t="s">
        <v>40</v>
      </c>
      <c r="D29" s="4" t="s">
        <v>41</v>
      </c>
      <c r="K29" s="2" t="s">
        <v>194</v>
      </c>
      <c r="L29" s="2" t="s">
        <v>194</v>
      </c>
      <c r="M29" s="2"/>
      <c r="N29" s="2" t="s">
        <v>43</v>
      </c>
      <c r="O29" s="12" t="n">
        <v>45810</v>
      </c>
      <c r="P29" s="2" t="s">
        <v>195</v>
      </c>
      <c r="Q29" s="13" t="s">
        <v>196</v>
      </c>
      <c r="R29" s="2"/>
      <c r="S29" s="4" t="s">
        <v>46</v>
      </c>
      <c r="T29" s="14" t="s">
        <v>197</v>
      </c>
      <c r="U29" s="4" t="n">
        <f aca="false">ABS(TRUNC(T29))</f>
        <v>42</v>
      </c>
      <c r="V29" s="15" t="n">
        <f aca="false">TRUNC(ABS(T29-TRUNC(T29))*60)</f>
        <v>30</v>
      </c>
      <c r="W29" s="16" t="n">
        <f aca="false">(T29 -(U29+V29/60))*60*60</f>
        <v>21.5496000000002</v>
      </c>
      <c r="X29" s="14" t="s">
        <v>198</v>
      </c>
      <c r="Y29" s="4" t="n">
        <f aca="false">IF(ISBLANK(X29),"",ABS(TRUNC(X29)))</f>
        <v>71</v>
      </c>
      <c r="Z29" s="15" t="n">
        <f aca="false">IF(ISBLANK(X29),"",TRUNC(ABS(X29-TRUNC(X29))*60))</f>
        <v>27</v>
      </c>
      <c r="AA29" s="16" t="n">
        <f aca="false">IF(ISBLANK(X29),"",(ABS(X29) -(Y29+Z29/60))*60*60)</f>
        <v>16.1531999999909</v>
      </c>
      <c r="AB29" s="17" t="str">
        <f aca="false">IF(ISBLANK(T29),"","https://openstreetmap.org/?mlat="&amp;T29&amp;"&amp;mlon="&amp;X29&amp;"#map=16/"&amp;T29&amp;"/"&amp;X29)</f>
        <v>https://openstreetmap.org/?mlat=42.505986&amp;mlon=-71.454487#map=16/42.505986/-71.454487</v>
      </c>
      <c r="AD29" s="15" t="n">
        <v>30</v>
      </c>
    </row>
    <row r="30" customFormat="false" ht="64.9" hidden="false" customHeight="false" outlineLevel="0" collapsed="false">
      <c r="A30" s="2" t="str">
        <f aca="false">"Acton"&amp;IF(C30="X","/Boxborough","")&amp;IF(F30="X","/Carlisle","")&amp;IF(G30="X","/Concord","")&amp;IF(D30="X","/Littleton","")&amp;IF(I30="X","/Maynard","")&amp;IF(J30="X","/Stow","")&amp;IF(H30="X","/Sudbury","")&amp;IF(E30="X","/Westford","")&amp;IF(ISBLANK(AC30),""," "&amp;AC30) &amp;IF(OR(B30="Street Crossing",B30="Witness")," "&amp;K30,"")</f>
        <v>Acton/Littleton Great Road</v>
      </c>
      <c r="B30" s="2" t="s">
        <v>40</v>
      </c>
      <c r="D30" s="4" t="s">
        <v>41</v>
      </c>
      <c r="K30" s="2" t="s">
        <v>115</v>
      </c>
      <c r="L30" s="2" t="s">
        <v>115</v>
      </c>
      <c r="M30" s="2"/>
      <c r="N30" s="2" t="s">
        <v>56</v>
      </c>
      <c r="O30" s="12" t="n">
        <v>45810</v>
      </c>
      <c r="P30" s="2" t="s">
        <v>199</v>
      </c>
      <c r="Q30" s="2" t="s">
        <v>64</v>
      </c>
      <c r="R30" s="2"/>
      <c r="S30" s="4" t="s">
        <v>59</v>
      </c>
      <c r="T30" s="14" t="s">
        <v>200</v>
      </c>
      <c r="U30" s="4" t="n">
        <f aca="false">ABS(TRUNC(T30))</f>
        <v>42</v>
      </c>
      <c r="V30" s="15" t="n">
        <f aca="false">TRUNC(ABS(T30-TRUNC(T30))*60)</f>
        <v>31</v>
      </c>
      <c r="W30" s="16" t="n">
        <f aca="false">(T30 -(U30+V30/60))*60*60</f>
        <v>21.0720000000038</v>
      </c>
      <c r="X30" s="14" t="s">
        <v>201</v>
      </c>
      <c r="Y30" s="4" t="n">
        <f aca="false">ABS(TRUNC(X30))</f>
        <v>71</v>
      </c>
      <c r="Z30" s="15" t="n">
        <f aca="false">TRUNC(ABS(X30-TRUNC(X30))*60)</f>
        <v>26</v>
      </c>
      <c r="AA30" s="16" t="n">
        <f aca="false">(ABS(X30) -(Y30+Z30/60))*60*60</f>
        <v>4.77599999996414</v>
      </c>
      <c r="AB30" s="17" t="str">
        <f aca="false">IF(ISBLANK(T30),"","https://openstreetmap.org/?mlat="&amp;T30&amp;"&amp;mlon="&amp;X30&amp;"#map=16/"&amp;T30&amp;"/"&amp;X30)</f>
        <v>https://openstreetmap.org/?mlat=42.52252&amp;mlon=-71.43466#map=16/42.52252/-71.43466</v>
      </c>
      <c r="AD30" s="15" t="n">
        <v>25</v>
      </c>
    </row>
    <row r="31" customFormat="false" ht="26.85" hidden="false" customHeight="false" outlineLevel="0" collapsed="false">
      <c r="A31" s="2" t="str">
        <f aca="false">"Acton"&amp;IF(C31="X","/Boxborough","")&amp;IF(F31="X","/Carlisle","")&amp;IF(G31="X","/Concord","")&amp;IF(D31="X","/Littleton","")&amp;IF(I31="X","/Maynard","")&amp;IF(J31="X","/Stow","")&amp;IF(H31="X","/Sudbury","")&amp;IF(E31="X","/Westford","")&amp;IF(ISBLANK(AC31),""," "&amp;AC31) &amp;IF(OR(B31="Street Crossing",B31="Witness")," "&amp;K31,"")</f>
        <v>Acton/Littleton Lillian Road</v>
      </c>
      <c r="B31" s="2" t="s">
        <v>40</v>
      </c>
      <c r="D31" s="4" t="s">
        <v>41</v>
      </c>
      <c r="K31" s="2" t="s">
        <v>202</v>
      </c>
      <c r="L31" s="2" t="s">
        <v>203</v>
      </c>
      <c r="M31" s="2"/>
      <c r="N31" s="2" t="s">
        <v>56</v>
      </c>
      <c r="O31" s="12" t="n">
        <v>45741</v>
      </c>
      <c r="P31" s="2" t="s">
        <v>204</v>
      </c>
      <c r="Q31" s="2" t="s">
        <v>64</v>
      </c>
      <c r="R31" s="2"/>
      <c r="S31" s="4" t="s">
        <v>59</v>
      </c>
      <c r="T31" s="14" t="s">
        <v>205</v>
      </c>
      <c r="U31" s="4" t="n">
        <f aca="false">IF(ISBLANK(T31),"",ABS(TRUNC(T31)))</f>
        <v>42</v>
      </c>
      <c r="V31" s="15" t="n">
        <f aca="false">IF(ISBLANK(T31),"",TRUNC(ABS(T31-TRUNC(T31))*60))</f>
        <v>30</v>
      </c>
      <c r="W31" s="16" t="n">
        <f aca="false">IF(ISBLANK(T31),"",(T31 -(U31+V31/60))*60*60)</f>
        <v>4.07880000001057</v>
      </c>
      <c r="X31" s="14" t="s">
        <v>206</v>
      </c>
      <c r="Y31" s="4" t="n">
        <f aca="false">IF(ISBLANK(X31),"",ABS(TRUNC(X31)))</f>
        <v>71</v>
      </c>
      <c r="Z31" s="15" t="n">
        <f aca="false">IF(ISBLANK(X31),"",TRUNC(ABS(X31-TRUNC(X31))*60))</f>
        <v>28</v>
      </c>
      <c r="AA31" s="16" t="n">
        <f aca="false">IF(ISBLANK(X31),"",(ABS(X31) -(Y31+Z31/60))*60*60)</f>
        <v>13.0872000000068</v>
      </c>
      <c r="AB31" s="17" t="str">
        <f aca="false">IF(ISBLANK(T31),"","https://openstreetmap.org/?mlat="&amp;T31&amp;"&amp;mlon="&amp;X31&amp;"#map=16/"&amp;T31&amp;"/"&amp;X31)</f>
        <v>https://openstreetmap.org/?mlat=42.501133&amp;mlon=-71.470302#map=16/42.501133/-71.470302</v>
      </c>
      <c r="AD31" s="15" t="n">
        <v>35</v>
      </c>
      <c r="AE31" s="4" t="s">
        <v>193</v>
      </c>
    </row>
    <row r="32" customFormat="false" ht="26.85" hidden="false" customHeight="false" outlineLevel="0" collapsed="false">
      <c r="A32" s="2" t="str">
        <f aca="false">"Acton"&amp;IF(C32="X","/Boxborough","")&amp;IF(F32="X","/Carlisle","")&amp;IF(G32="X","/Concord","")&amp;IF(D32="X","/Littleton","")&amp;IF(I32="X","/Maynard","")&amp;IF(J32="X","/Stow","")&amp;IF(H32="X","/Sudbury","")&amp;IF(E32="X","/Westford","")&amp;IF(ISBLANK(AC32),""," "&amp;AC32) &amp;IF(OR(B32="Street Crossing",B32="Witness")," "&amp;K32,"")</f>
        <v>Acton/Littleton Nagog Hill Road</v>
      </c>
      <c r="B32" s="2" t="s">
        <v>40</v>
      </c>
      <c r="D32" s="4" t="s">
        <v>41</v>
      </c>
      <c r="K32" s="2" t="s">
        <v>185</v>
      </c>
      <c r="L32" s="2" t="s">
        <v>185</v>
      </c>
      <c r="M32" s="2"/>
      <c r="N32" s="2" t="s">
        <v>43</v>
      </c>
      <c r="O32" s="12" t="n">
        <v>45810</v>
      </c>
      <c r="P32" s="2" t="s">
        <v>207</v>
      </c>
      <c r="Q32" s="13" t="s">
        <v>208</v>
      </c>
      <c r="S32" s="4" t="s">
        <v>46</v>
      </c>
      <c r="T32" s="14" t="s">
        <v>209</v>
      </c>
      <c r="U32" s="4" t="n">
        <f aca="false">ABS(TRUNC(T32))</f>
        <v>42</v>
      </c>
      <c r="V32" s="15" t="n">
        <f aca="false">TRUNC(ABS(T32-TRUNC(T32))*60)</f>
        <v>30</v>
      </c>
      <c r="W32" s="16" t="n">
        <f aca="false">(T32 -(U32+V32/60))*60*60</f>
        <v>26.7371999999995</v>
      </c>
      <c r="X32" s="14" t="s">
        <v>210</v>
      </c>
      <c r="Y32" s="4" t="n">
        <f aca="false">ABS(TRUNC(X32))</f>
        <v>71</v>
      </c>
      <c r="Z32" s="15" t="n">
        <f aca="false">TRUNC(ABS(X32-TRUNC(X32))*60)</f>
        <v>26</v>
      </c>
      <c r="AA32" s="16" t="n">
        <f aca="false">(ABS(X32) -(Y32+Z32/60))*60*60</f>
        <v>58.3368000000007</v>
      </c>
      <c r="AB32" s="17" t="str">
        <f aca="false">IF(ISBLANK(T32),"","https://openstreetmap.org/?mlat="&amp;T32&amp;"&amp;mlon="&amp;X32&amp;"#map=16/"&amp;T32&amp;"/"&amp;X32)</f>
        <v>https://openstreetmap.org/?mlat=42.507427&amp;mlon=-71.449538#map=16/42.507427/-71.449538</v>
      </c>
      <c r="AD32" s="15" t="n">
        <v>29</v>
      </c>
    </row>
    <row r="33" customFormat="false" ht="64.9" hidden="false" customHeight="false" outlineLevel="0" collapsed="false">
      <c r="A33" s="2" t="str">
        <f aca="false">"Acton"&amp;IF(C33="X","/Boxborough","")&amp;IF(F33="X","/Carlisle","")&amp;IF(G33="X","/Concord","")&amp;IF(D33="X","/Littleton","")&amp;IF(I33="X","/Maynard","")&amp;IF(J33="X","/Stow","")&amp;IF(H33="X","/Sudbury","")&amp;IF(E33="X","/Westford","")&amp;IF(ISBLANK(AC33),""," "&amp;AC33) &amp;IF(OR(B33="Street Crossing",B33="Witness")," "&amp;K33,"")</f>
        <v>Acton/Littleton Nashoba Road</v>
      </c>
      <c r="B33" s="2" t="s">
        <v>40</v>
      </c>
      <c r="D33" s="4" t="s">
        <v>41</v>
      </c>
      <c r="K33" s="2" t="s">
        <v>178</v>
      </c>
      <c r="L33" s="2" t="s">
        <v>115</v>
      </c>
      <c r="M33" s="2"/>
      <c r="N33" s="2" t="s">
        <v>56</v>
      </c>
      <c r="O33" s="12" t="n">
        <v>45810</v>
      </c>
      <c r="P33" s="2" t="s">
        <v>199</v>
      </c>
      <c r="Q33" s="2" t="s">
        <v>64</v>
      </c>
      <c r="R33" s="2"/>
      <c r="S33" s="4" t="s">
        <v>59</v>
      </c>
      <c r="T33" s="14" t="s">
        <v>211</v>
      </c>
      <c r="U33" s="4" t="n">
        <f aca="false">ABS(TRUNC(T33))</f>
        <v>42</v>
      </c>
      <c r="V33" s="15" t="n">
        <f aca="false">TRUNC(ABS(T33-TRUNC(T33))*60)</f>
        <v>31</v>
      </c>
      <c r="W33" s="16" t="n">
        <f aca="false">(T33 -(U33+V33/60))*60*60</f>
        <v>19.7400000000158</v>
      </c>
      <c r="X33" s="14" t="s">
        <v>212</v>
      </c>
      <c r="Y33" s="4" t="n">
        <f aca="false">ABS(TRUNC(X33))</f>
        <v>71</v>
      </c>
      <c r="Z33" s="15" t="n">
        <f aca="false">TRUNC(ABS(X33-TRUNC(X33))*60)</f>
        <v>26</v>
      </c>
      <c r="AA33" s="16" t="n">
        <f aca="false">(ABS(X33) -(Y33+Z33/60))*60*60</f>
        <v>6.07199999996624</v>
      </c>
      <c r="AB33" s="17" t="str">
        <f aca="false">IF(ISBLANK(T33),"","https://openstreetmap.org/?mlat="&amp;T33&amp;"&amp;mlon="&amp;X33&amp;"#map=16/"&amp;T33&amp;"/"&amp;X33)</f>
        <v>https://openstreetmap.org/?mlat=42.52215&amp;mlon=-71.43502#map=16/42.52215/-71.43502</v>
      </c>
      <c r="AD33" s="15" t="n">
        <v>27</v>
      </c>
    </row>
    <row r="34" customFormat="false" ht="39.55" hidden="false" customHeight="false" outlineLevel="0" collapsed="false">
      <c r="A34" s="2" t="str">
        <f aca="false">"Acton"&amp;IF(C34="X","/Boxborough","")&amp;IF(F34="X","/Carlisle","")&amp;IF(G34="X","/Concord","")&amp;IF(D34="X","/Littleton","")&amp;IF(I34="X","/Maynard","")&amp;IF(J34="X","/Stow","")&amp;IF(H34="X","/Sudbury","")&amp;IF(E34="X","/Westford","")&amp;IF(ISBLANK(AC34),""," "&amp;AC34) &amp;IF(OR(B34="Street Crossing",B34="Witness")," "&amp;K34,"")</f>
        <v>Acton/Littleton Newtown Road</v>
      </c>
      <c r="B34" s="2" t="s">
        <v>40</v>
      </c>
      <c r="D34" s="4" t="s">
        <v>41</v>
      </c>
      <c r="K34" s="2" t="s">
        <v>73</v>
      </c>
      <c r="L34" s="2" t="s">
        <v>213</v>
      </c>
      <c r="M34" s="2" t="s">
        <v>214</v>
      </c>
      <c r="N34" s="2" t="s">
        <v>43</v>
      </c>
      <c r="O34" s="12" t="n">
        <v>45810</v>
      </c>
      <c r="P34" s="2"/>
      <c r="Q34" s="13" t="s">
        <v>215</v>
      </c>
      <c r="R34" s="2"/>
      <c r="S34" s="4" t="s">
        <v>46</v>
      </c>
      <c r="T34" s="14" t="s">
        <v>216</v>
      </c>
      <c r="U34" s="4" t="n">
        <f aca="false">ABS(TRUNC(T34))</f>
        <v>42</v>
      </c>
      <c r="V34" s="15" t="n">
        <f aca="false">TRUNC(ABS(T34-TRUNC(T34))*60)</f>
        <v>30</v>
      </c>
      <c r="W34" s="16" t="n">
        <f aca="false">(T34 -(U34+V34/60))*60*60</f>
        <v>5.10119999998722</v>
      </c>
      <c r="X34" s="14" t="s">
        <v>217</v>
      </c>
      <c r="Y34" s="4" t="n">
        <f aca="false">IF(ISBLANK(X34),"",ABS(TRUNC(X34)))</f>
        <v>71</v>
      </c>
      <c r="Z34" s="15" t="n">
        <f aca="false">IF(ISBLANK(X34),"",TRUNC(ABS(X34-TRUNC(X34))*60))</f>
        <v>28</v>
      </c>
      <c r="AA34" s="16" t="n">
        <f aca="false">IF(ISBLANK(X34),"",(ABS(X34) -(Y34+Z34/60))*60*60)</f>
        <v>10.1819999999748</v>
      </c>
      <c r="AB34" s="17" t="str">
        <f aca="false">IF(ISBLANK(T34),"","https://openstreetmap.org/?mlat="&amp;T34&amp;"&amp;mlon="&amp;X34&amp;"#map=16/"&amp;T34&amp;"/"&amp;X34)</f>
        <v>https://openstreetmap.org/?mlat=42.501417&amp;mlon=-71.469495#map=16/42.501417/-71.469495</v>
      </c>
      <c r="AD34" s="15" t="n">
        <v>34</v>
      </c>
    </row>
    <row r="35" customFormat="false" ht="64.9" hidden="false" customHeight="false" outlineLevel="0" collapsed="false">
      <c r="A35" s="2" t="str">
        <f aca="false">"Acton"&amp;IF(C35="X","/Boxborough","")&amp;IF(F35="X","/Carlisle","")&amp;IF(G35="X","/Concord","")&amp;IF(D35="X","/Littleton","")&amp;IF(I35="X","/Maynard","")&amp;IF(J35="X","/Stow","")&amp;IF(H35="X","/Sudbury","")&amp;IF(E35="X","/Westford","")&amp;IF(ISBLANK(AC35),""," "&amp;AC35) &amp;IF(OR(B35="Street Crossing",B35="Witness")," "&amp;K35,"")</f>
        <v>Acton/Littleton Sarah Indian Way</v>
      </c>
      <c r="B35" s="2" t="s">
        <v>40</v>
      </c>
      <c r="D35" s="4" t="s">
        <v>41</v>
      </c>
      <c r="K35" s="2" t="s">
        <v>218</v>
      </c>
      <c r="L35" s="2"/>
      <c r="M35" s="2"/>
      <c r="N35" s="2" t="s">
        <v>56</v>
      </c>
      <c r="O35" s="12" t="n">
        <v>45810</v>
      </c>
      <c r="P35" s="2" t="s">
        <v>219</v>
      </c>
      <c r="Q35" s="2" t="s">
        <v>64</v>
      </c>
      <c r="R35" s="2"/>
      <c r="S35" s="4" t="s">
        <v>59</v>
      </c>
      <c r="T35" s="14" t="s">
        <v>220</v>
      </c>
      <c r="U35" s="4" t="n">
        <f aca="false">ABS(TRUNC(T35))</f>
        <v>42</v>
      </c>
      <c r="V35" s="15" t="n">
        <f aca="false">TRUNC(ABS(T35-TRUNC(T35))*60)</f>
        <v>30</v>
      </c>
      <c r="W35" s="16" t="n">
        <f aca="false">(T35 -(U35+V35/60))*60*60</f>
        <v>18.9720000000108</v>
      </c>
      <c r="X35" s="14" t="s">
        <v>221</v>
      </c>
      <c r="Y35" s="4" t="n">
        <f aca="false">IF(ISBLANK(X35),"",ABS(TRUNC(X35)))</f>
        <v>71</v>
      </c>
      <c r="Z35" s="15" t="n">
        <f aca="false">IF(ISBLANK(X35),"",TRUNC(ABS(X35-TRUNC(X35))*60))</f>
        <v>27</v>
      </c>
      <c r="AA35" s="16" t="n">
        <f aca="false">IF(ISBLANK(X35),"",(ABS(X35) -(Y35+Z35/60))*60*60)</f>
        <v>24.192000000005</v>
      </c>
      <c r="AB35" s="17" t="str">
        <f aca="false">IF(ISBLANK(T35),"","https://openstreetmap.org/?mlat="&amp;T35&amp;"&amp;mlon="&amp;X35&amp;"#map=16/"&amp;T35&amp;"/"&amp;X35)</f>
        <v>https://openstreetmap.org/?mlat=42.50527&amp;mlon=-71.45672#map=16/42.50527/-71.45672</v>
      </c>
      <c r="AD35" s="15" t="n">
        <v>32</v>
      </c>
      <c r="AE35" s="4" t="s">
        <v>222</v>
      </c>
    </row>
    <row r="36" customFormat="false" ht="141" hidden="false" customHeight="false" outlineLevel="0" collapsed="false">
      <c r="A36" s="2" t="str">
        <f aca="false">"Acton"&amp;IF(C36="X","/Boxborough","")&amp;IF(F36="X","/Carlisle","")&amp;IF(G36="X","/Concord","")&amp;IF(D36="X","/Littleton","")&amp;IF(I36="X","/Maynard","")&amp;IF(J36="X","/Stow","")&amp;IF(H36="X","/Sudbury","")&amp;IF(E36="X","/Westford","")&amp;IF(ISBLANK(AC36),""," "&amp;AC36) &amp;IF(OR(B36="Street Crossing",B36="Witness")," "&amp;K36,"")</f>
        <v>Acton/Littleton W B Marker on Fort Pond Road</v>
      </c>
      <c r="B36" s="2" t="s">
        <v>106</v>
      </c>
      <c r="D36" s="4" t="s">
        <v>41</v>
      </c>
      <c r="K36" s="2" t="s">
        <v>223</v>
      </c>
      <c r="L36" s="2" t="s">
        <v>194</v>
      </c>
      <c r="M36" s="2"/>
      <c r="N36" s="2" t="s">
        <v>123</v>
      </c>
      <c r="O36" s="12" t="n">
        <v>45810</v>
      </c>
      <c r="P36" s="2" t="s">
        <v>224</v>
      </c>
      <c r="Q36" s="13" t="s">
        <v>64</v>
      </c>
      <c r="R36" s="2" t="s">
        <v>225</v>
      </c>
      <c r="S36" s="4" t="s">
        <v>46</v>
      </c>
      <c r="T36" s="14" t="s">
        <v>226</v>
      </c>
      <c r="U36" s="4" t="n">
        <f aca="false">ABS(TRUNC(T36))</f>
        <v>42</v>
      </c>
      <c r="V36" s="15" t="n">
        <f aca="false">TRUNC(ABS(T36-TRUNC(T36))*60)</f>
        <v>30</v>
      </c>
      <c r="W36" s="16" t="n">
        <f aca="false">(T36 -(U36+V36/60))*60*60</f>
        <v>22.3235999999901</v>
      </c>
      <c r="X36" s="14" t="s">
        <v>227</v>
      </c>
      <c r="Y36" s="4" t="n">
        <f aca="false">IF(ISBLANK(X36),"",ABS(TRUNC(X36)))</f>
        <v>71</v>
      </c>
      <c r="Z36" s="15" t="n">
        <f aca="false">IF(ISBLANK(X36),"",TRUNC(ABS(X36-TRUNC(X36))*60))</f>
        <v>27</v>
      </c>
      <c r="AA36" s="16" t="n">
        <f aca="false">IF(ISBLANK(X36),"",(ABS(X36) -(Y36+Z36/60))*60*60)</f>
        <v>14.850000000007</v>
      </c>
      <c r="AB36" s="17" t="str">
        <f aca="false">IF(ISBLANK(T36),"","https://openstreetmap.org/?mlat="&amp;T36&amp;"&amp;mlon="&amp;X36&amp;"#map=16/"&amp;T36&amp;"/"&amp;X36)</f>
        <v>https://openstreetmap.org/?mlat=42.506201&amp;mlon=-71.454125#map=16/42.506201/-71.454125</v>
      </c>
      <c r="AD36" s="15" t="n">
        <v>31</v>
      </c>
      <c r="AE36" s="4" t="s">
        <v>228</v>
      </c>
    </row>
    <row r="37" customFormat="false" ht="115.65" hidden="false" customHeight="false" outlineLevel="0" collapsed="false">
      <c r="A37" s="2" t="str">
        <f aca="false">"Acton"&amp;IF(C37="X","/Boxborough","")&amp;IF(F37="X","/Carlisle","")&amp;IF(G37="X","/Concord","")&amp;IF(D37="X","/Littleton","")&amp;IF(I37="X","/Maynard","")&amp;IF(J37="X","/Stow","")&amp;IF(H37="X","/Sudbury","")&amp;IF(E37="X","/Westford","")&amp;IF(ISBLANK(AC37),""," "&amp;AC37) &amp;IF(OR(B37="Street Crossing",B37="Witness")," "&amp;K37,"")</f>
        <v>Acton/Littleton/Westford</v>
      </c>
      <c r="B37" s="2" t="s">
        <v>72</v>
      </c>
      <c r="D37" s="4" t="s">
        <v>41</v>
      </c>
      <c r="E37" s="4" t="s">
        <v>41</v>
      </c>
      <c r="K37" s="2" t="s">
        <v>229</v>
      </c>
      <c r="L37" s="2" t="s">
        <v>230</v>
      </c>
      <c r="M37" s="2" t="s">
        <v>231</v>
      </c>
      <c r="N37" s="2" t="s">
        <v>43</v>
      </c>
      <c r="O37" s="2" t="s">
        <v>232</v>
      </c>
      <c r="P37" s="2" t="s">
        <v>233</v>
      </c>
      <c r="Q37" s="13" t="s">
        <v>234</v>
      </c>
      <c r="R37" s="2" t="s">
        <v>235</v>
      </c>
      <c r="S37" s="4" t="s">
        <v>77</v>
      </c>
      <c r="T37" s="4" t="n">
        <v>42.528812154</v>
      </c>
      <c r="U37" s="4" t="n">
        <f aca="false">ABS(TRUNC(T37))</f>
        <v>42</v>
      </c>
      <c r="V37" s="15" t="n">
        <f aca="false">TRUNC(ABS(T37-TRUNC(T37))*60)</f>
        <v>31</v>
      </c>
      <c r="W37" s="16" t="n">
        <f aca="false">(T37 -(U37+V37/60))*60*60</f>
        <v>43.7237544000055</v>
      </c>
      <c r="X37" s="4" t="n">
        <v>-71.428534514</v>
      </c>
      <c r="Y37" s="4" t="n">
        <f aca="false">ABS(TRUNC(X37))</f>
        <v>71</v>
      </c>
      <c r="Z37" s="15" t="n">
        <f aca="false">TRUNC(ABS(X37-TRUNC(X37))*60)</f>
        <v>25</v>
      </c>
      <c r="AA37" s="16" t="n">
        <f aca="false">(ABS(X37) -(Y37+Z37/60))*60*60</f>
        <v>42.7242504000049</v>
      </c>
      <c r="AB37" s="17" t="str">
        <f aca="false">IF(ISBLANK(T37),"","https://openstreetmap.org/?mlat="&amp;T37&amp;"&amp;mlon="&amp;X37&amp;"#map=16/"&amp;T37&amp;"/"&amp;X37)</f>
        <v>https://openstreetmap.org/?mlat=42.528812154&amp;mlon=-71.428534514#map=16/42.528812154/-71.428534514</v>
      </c>
      <c r="AD37" s="15" t="n">
        <v>24</v>
      </c>
    </row>
    <row r="38" customFormat="false" ht="26.85" hidden="false" customHeight="false" outlineLevel="0" collapsed="false">
      <c r="A38" s="2" t="str">
        <f aca="false">"Acton"&amp;IF(C38="X","/Boxborough","")&amp;IF(F38="X","/Carlisle","")&amp;IF(G38="X","/Concord","")&amp;IF(D38="X","/Littleton","")&amp;IF(I38="X","/Maynard","")&amp;IF(J38="X","/Stow","")&amp;IF(H38="X","/Sudbury","")&amp;IF(E38="X","/Westford","")&amp;IF(ISBLANK(AC38),""," "&amp;AC38) &amp;IF(OR(B38="Street Crossing",B38="Witness")," "&amp;K38,"")</f>
        <v>Acton/Maynard Conant Street</v>
      </c>
      <c r="B38" s="2" t="s">
        <v>40</v>
      </c>
      <c r="I38" s="4" t="s">
        <v>41</v>
      </c>
      <c r="K38" s="2" t="s">
        <v>236</v>
      </c>
      <c r="L38" s="2"/>
      <c r="M38" s="2" t="s">
        <v>237</v>
      </c>
      <c r="N38" s="2" t="s">
        <v>43</v>
      </c>
      <c r="O38" s="21" t="s">
        <v>238</v>
      </c>
      <c r="P38" s="2" t="s">
        <v>239</v>
      </c>
      <c r="Q38" s="2" t="s">
        <v>240</v>
      </c>
      <c r="R38" s="2"/>
      <c r="S38" s="4" t="s">
        <v>46</v>
      </c>
      <c r="T38" s="14" t="s">
        <v>241</v>
      </c>
      <c r="U38" s="4" t="n">
        <f aca="false">IF(ISBLANK(T38),"",ABS(TRUNC(T38)))</f>
        <v>42</v>
      </c>
      <c r="V38" s="15" t="n">
        <f aca="false">IF(ISBLANK(T38),"",TRUNC(ABS(T38-TRUNC(T38))*60))</f>
        <v>26</v>
      </c>
      <c r="W38" s="16" t="n">
        <f aca="false">IF(ISBLANK(T38),"",(T38 -(U38+V38/60))*60*60)</f>
        <v>44.5236000000108</v>
      </c>
      <c r="X38" s="14" t="s">
        <v>242</v>
      </c>
      <c r="Y38" s="4" t="n">
        <f aca="false">IF(ISBLANK(X38),"",ABS(TRUNC(X38)))</f>
        <v>71</v>
      </c>
      <c r="Z38" s="15" t="n">
        <f aca="false">IF(ISBLANK(X38),"",TRUNC(ABS(X38-TRUNC(X38))*60))</f>
        <v>27</v>
      </c>
      <c r="AA38" s="16" t="n">
        <f aca="false">IF(ISBLANK(X38),"",(ABS(X38) -(Y38+Z38/60))*60*60)</f>
        <v>9.31319999996845</v>
      </c>
      <c r="AB38" s="17" t="str">
        <f aca="false">IF(ISBLANK(T38),"","https://openstreetmap.org/?mlat="&amp;T38&amp;"&amp;mlon="&amp;X38&amp;"#map=16/"&amp;T38&amp;"/"&amp;X38)</f>
        <v>https://openstreetmap.org/?mlat=42.445701&amp;mlon=-71.452587#map=16/42.445701/-71.452587</v>
      </c>
      <c r="AD38" s="15" t="n">
        <v>48</v>
      </c>
    </row>
    <row r="39" customFormat="false" ht="64.9" hidden="false" customHeight="false" outlineLevel="0" collapsed="false">
      <c r="A39" s="2" t="str">
        <f aca="false">"Acton"&amp;IF(C39="X","/Boxborough","")&amp;IF(F39="X","/Carlisle","")&amp;IF(G39="X","/Concord","")&amp;IF(D39="X","/Littleton","")&amp;IF(I39="X","/Maynard","")&amp;IF(J39="X","/Stow","")&amp;IF(H39="X","/Sudbury","")&amp;IF(E39="X","/Westford","")&amp;IF(ISBLANK(AC39),""," "&amp;AC39) &amp;IF(OR(B39="Street Crossing",B39="Witness")," "&amp;K39,"")</f>
        <v>Acton/Maynard Main Street (Rte 27)</v>
      </c>
      <c r="B39" s="2" t="s">
        <v>40</v>
      </c>
      <c r="I39" s="4" t="s">
        <v>41</v>
      </c>
      <c r="K39" s="2" t="s">
        <v>93</v>
      </c>
      <c r="L39" s="2" t="s">
        <v>243</v>
      </c>
      <c r="M39" s="2" t="s">
        <v>244</v>
      </c>
      <c r="N39" s="2" t="s">
        <v>43</v>
      </c>
      <c r="O39" s="21" t="s">
        <v>238</v>
      </c>
      <c r="P39" s="2" t="s">
        <v>245</v>
      </c>
      <c r="Q39" s="2" t="s">
        <v>246</v>
      </c>
      <c r="R39" s="2"/>
      <c r="S39" s="4" t="s">
        <v>46</v>
      </c>
      <c r="T39" s="22" t="s">
        <v>247</v>
      </c>
      <c r="U39" s="4" t="n">
        <f aca="false">IF(ISBLANK(T39),"",ABS(TRUNC(T39)))</f>
        <v>42</v>
      </c>
      <c r="V39" s="15" t="n">
        <f aca="false">IF(ISBLANK(T39),"",TRUNC(ABS(T39-TRUNC(T39))*60))</f>
        <v>26</v>
      </c>
      <c r="W39" s="16" t="n">
        <f aca="false">IF(ISBLANK(T39),"",(T39 -(U39+V39/60))*60*60)</f>
        <v>46.4280000000116</v>
      </c>
      <c r="X39" s="14" t="s">
        <v>248</v>
      </c>
      <c r="Y39" s="4" t="n">
        <f aca="false">IF(ISBLANK(X39),"",ABS(TRUNC(X39)))</f>
        <v>71</v>
      </c>
      <c r="Z39" s="15" t="n">
        <f aca="false">IF(ISBLANK(X39),"",TRUNC(ABS(X39-TRUNC(X39))*60))</f>
        <v>27</v>
      </c>
      <c r="AA39" s="16" t="n">
        <f aca="false">IF(ISBLANK(X39),"",(ABS(X39) -(Y39+Z39/60))*60*60)</f>
        <v>14.1551999999706</v>
      </c>
      <c r="AB39" s="17" t="str">
        <f aca="false">IF(ISBLANK(T39),"","https://openstreetmap.org/?mlat="&amp;T39&amp;"&amp;mlon="&amp;X39&amp;"#map=16/"&amp;T39&amp;"/"&amp;X39)</f>
        <v>https://openstreetmap.org/?mlat=42.446230&amp;mlon=-71.453932#map=16/42.446230/-71.453932</v>
      </c>
      <c r="AD39" s="15" t="n">
        <v>47</v>
      </c>
      <c r="AE39" s="4" t="s">
        <v>249</v>
      </c>
    </row>
    <row r="40" customFormat="false" ht="39.55" hidden="false" customHeight="false" outlineLevel="0" collapsed="false">
      <c r="A40" s="2" t="str">
        <f aca="false">"Acton"&amp;IF(C40="X","/Boxborough","")&amp;IF(F40="X","/Carlisle","")&amp;IF(G40="X","/Concord","")&amp;IF(D40="X","/Littleton","")&amp;IF(I40="X","/Maynard","")&amp;IF(J40="X","/Stow","")&amp;IF(H40="X","/Sudbury","")&amp;IF(E40="X","/Westford","")&amp;IF(ISBLANK(AC40),""," "&amp;AC40) &amp;IF(OR(B40="Street Crossing",B40="Witness")," "&amp;K40,"")</f>
        <v>Acton/Maynard Parker Street</v>
      </c>
      <c r="B40" s="2" t="s">
        <v>40</v>
      </c>
      <c r="I40" s="4" t="s">
        <v>41</v>
      </c>
      <c r="K40" s="2" t="s">
        <v>250</v>
      </c>
      <c r="L40" s="2" t="s">
        <v>251</v>
      </c>
      <c r="M40" s="2" t="s">
        <v>252</v>
      </c>
      <c r="N40" s="2" t="s">
        <v>43</v>
      </c>
      <c r="O40" s="21" t="s">
        <v>238</v>
      </c>
      <c r="P40" s="2" t="s">
        <v>253</v>
      </c>
      <c r="Q40" s="2" t="s">
        <v>254</v>
      </c>
      <c r="R40" s="2" t="s">
        <v>255</v>
      </c>
      <c r="S40" s="4" t="s">
        <v>46</v>
      </c>
      <c r="T40" s="14" t="s">
        <v>256</v>
      </c>
      <c r="U40" s="4" t="n">
        <f aca="false">IF(ISBLANK(T40),"",ABS(TRUNC(T40)))</f>
        <v>42</v>
      </c>
      <c r="V40" s="15" t="n">
        <f aca="false">IF(ISBLANK(T40),"",TRUNC(ABS(T40-TRUNC(T40))*60))</f>
        <v>26</v>
      </c>
      <c r="W40" s="16" t="n">
        <f aca="false">IF(ISBLANK(T40),"",(T40 -(U40+V40/60))*60*60)</f>
        <v>32.2044000000091</v>
      </c>
      <c r="X40" s="14" t="s">
        <v>257</v>
      </c>
      <c r="Y40" s="4" t="n">
        <f aca="false">IF(ISBLANK(X40),"",ABS(TRUNC(X40)))</f>
        <v>71</v>
      </c>
      <c r="Z40" s="15" t="n">
        <f aca="false">IF(ISBLANK(X40),"",TRUNC(ABS(X40-TRUNC(X40))*60))</f>
        <v>26</v>
      </c>
      <c r="AA40" s="16" t="n">
        <f aca="false">IF(ISBLANK(X40),"",(ABS(X40) -(Y40+Z40/60))*60*60)</f>
        <v>37.967999999961</v>
      </c>
      <c r="AB40" s="17" t="str">
        <f aca="false">IF(ISBLANK(T40),"","https://openstreetmap.org/?mlat="&amp;T40&amp;"&amp;mlon="&amp;X40&amp;"#map=16/"&amp;T40&amp;"/"&amp;X40)</f>
        <v>https://openstreetmap.org/?mlat=42.442279&amp;mlon=-71.443880#map=16/42.442279/-71.443880</v>
      </c>
      <c r="AD40" s="15" t="n">
        <v>49</v>
      </c>
      <c r="AE40" s="4" t="s">
        <v>258</v>
      </c>
    </row>
    <row r="41" customFormat="false" ht="64.9" hidden="false" customHeight="false" outlineLevel="0" collapsed="false">
      <c r="A41" s="2" t="str">
        <f aca="false">"Acton"&amp;IF(C41="X","/Boxborough","")&amp;IF(F41="X","/Carlisle","")&amp;IF(G41="X","/Concord","")&amp;IF(D41="X","/Littleton","")&amp;IF(I41="X","/Maynard","")&amp;IF(J41="X","/Stow","")&amp;IF(H41="X","/Sudbury","")&amp;IF(E41="X","/Westford","")&amp;IF(ISBLANK(AC41),""," "&amp;AC41) &amp;IF(OR(B41="Street Crossing",B41="Witness")," "&amp;K41,"")</f>
        <v>Acton/Maynard Powder Mill Road (Rte 62)</v>
      </c>
      <c r="B41" s="2" t="s">
        <v>40</v>
      </c>
      <c r="I41" s="4" t="s">
        <v>41</v>
      </c>
      <c r="K41" s="2" t="s">
        <v>152</v>
      </c>
      <c r="L41" s="2"/>
      <c r="M41" s="2" t="s">
        <v>259</v>
      </c>
      <c r="N41" s="2" t="s">
        <v>102</v>
      </c>
      <c r="O41" s="12" t="n">
        <v>45770</v>
      </c>
      <c r="P41" s="2" t="s">
        <v>260</v>
      </c>
      <c r="Q41" s="2" t="s">
        <v>261</v>
      </c>
      <c r="R41" s="2"/>
      <c r="S41" s="4" t="s">
        <v>59</v>
      </c>
      <c r="T41" s="14" t="s">
        <v>262</v>
      </c>
      <c r="U41" s="4" t="n">
        <f aca="false">IF(ISBLANK(T41),"",ABS(TRUNC(T41)))</f>
        <v>42</v>
      </c>
      <c r="V41" s="15" t="n">
        <f aca="false">IF(ISBLANK(T41),"",TRUNC(ABS(T41-TRUNC(T41))*60))</f>
        <v>26</v>
      </c>
      <c r="W41" s="16" t="n">
        <f aca="false">IF(ISBLANK(T41),"",(T41 -(U41+V41/60))*60*60)</f>
        <v>20.0760000000116</v>
      </c>
      <c r="X41" s="14" t="s">
        <v>263</v>
      </c>
      <c r="Y41" s="4" t="n">
        <f aca="false">IF(ISBLANK(X41),"",ABS(TRUNC(X41)))</f>
        <v>71</v>
      </c>
      <c r="Z41" s="15" t="n">
        <f aca="false">IF(ISBLANK(X41),"",TRUNC(ABS(X41-TRUNC(X41))*60))</f>
        <v>26</v>
      </c>
      <c r="AA41" s="16" t="n">
        <f aca="false">IF(ISBLANK(X41),"",(ABS(X41) -(Y41+Z41/60))*60*60)</f>
        <v>7.18799999996236</v>
      </c>
      <c r="AB41" s="17" t="str">
        <f aca="false">IF(ISBLANK(T41),"","https://openstreetmap.org/?mlat="&amp;T41&amp;"&amp;mlon="&amp;X41&amp;"#map=16/"&amp;T41&amp;"/"&amp;X41)</f>
        <v>https://openstreetmap.org/?mlat=42.43891&amp;mlon=-71.43533#map=16/42.43891/-71.43533</v>
      </c>
      <c r="AD41" s="15" t="n">
        <v>50</v>
      </c>
      <c r="AE41" s="4" t="s">
        <v>264</v>
      </c>
    </row>
    <row r="42" customFormat="false" ht="77.6" hidden="false" customHeight="false" outlineLevel="0" collapsed="false">
      <c r="A42" s="2" t="str">
        <f aca="false">"Acton"&amp;IF(C42="X","/Boxborough","")&amp;IF(F42="X","/Carlisle","")&amp;IF(G42="X","/Concord","")&amp;IF(D42="X","/Littleton","")&amp;IF(I42="X","/Maynard","")&amp;IF(J42="X","/Stow","")&amp;IF(H42="X","/Sudbury","")&amp;IF(E42="X","/Westford","")&amp;IF(ISBLANK(AC42),""," "&amp;AC42) &amp;IF(OR(B42="Street Crossing",B42="Witness")," "&amp;K42,"")</f>
        <v>Acton/Maynard Sudbury Road</v>
      </c>
      <c r="B42" s="2" t="s">
        <v>40</v>
      </c>
      <c r="I42" s="4" t="s">
        <v>41</v>
      </c>
      <c r="K42" s="2" t="s">
        <v>265</v>
      </c>
      <c r="L42" s="2" t="s">
        <v>265</v>
      </c>
      <c r="M42" s="2" t="s">
        <v>266</v>
      </c>
      <c r="N42" s="2" t="s">
        <v>123</v>
      </c>
      <c r="O42" s="12" t="n">
        <v>46221</v>
      </c>
      <c r="P42" s="2" t="s">
        <v>267</v>
      </c>
      <c r="Q42" s="2" t="s">
        <v>268</v>
      </c>
      <c r="R42" s="2" t="s">
        <v>269</v>
      </c>
      <c r="S42" s="4" t="s">
        <v>59</v>
      </c>
      <c r="T42" s="14" t="s">
        <v>270</v>
      </c>
      <c r="U42" s="4" t="n">
        <f aca="false">ABS(TRUNC(T42))</f>
        <v>42</v>
      </c>
      <c r="V42" s="15" t="n">
        <f aca="false">TRUNC(ABS(T42-TRUNC(T42))*60)</f>
        <v>26</v>
      </c>
      <c r="W42" s="16" t="n">
        <f aca="false">(T42 -(U42+V42/60))*60*60</f>
        <v>13.7328000000139</v>
      </c>
      <c r="X42" s="14" t="s">
        <v>271</v>
      </c>
      <c r="Y42" s="4" t="n">
        <f aca="false">ABS(TRUNC(X42))</f>
        <v>71</v>
      </c>
      <c r="Z42" s="15" t="n">
        <f aca="false">TRUNC(ABS(X42-TRUNC(X42))*60)</f>
        <v>25</v>
      </c>
      <c r="AA42" s="16" t="n">
        <f aca="false">(ABS(X42) -(Y42+Z42/60))*60*60</f>
        <v>51.2040000000013</v>
      </c>
      <c r="AB42" s="17" t="str">
        <f aca="false">IF(ISBLANK(T42),"","https://openstreetmap.org/?mlat="&amp;T42&amp;"&amp;mlon="&amp;X42&amp;"#map=16/"&amp;T42&amp;"/"&amp;X42)</f>
        <v>https://openstreetmap.org/?mlat=42.437148&amp;mlon=-71.430890#map=16/42.437148/-71.430890</v>
      </c>
      <c r="AD42" s="15" t="n">
        <v>51</v>
      </c>
      <c r="AE42" s="4" t="s">
        <v>272</v>
      </c>
    </row>
    <row r="43" customFormat="false" ht="191.75" hidden="false" customHeight="false" outlineLevel="0" collapsed="false">
      <c r="A43" s="2" t="str">
        <f aca="false">"Acton"&amp;IF(C43="X","/Boxborough","")&amp;IF(F43="X","/Carlisle","")&amp;IF(G43="X","/Concord","")&amp;IF(D43="X","/Littleton","")&amp;IF(I43="X","/Maynard","")&amp;IF(J43="X","/Stow","")&amp;IF(H43="X","/Sudbury","")&amp;IF(E43="X","/Westford","")&amp;IF(ISBLANK(AC43),""," "&amp;AC43) &amp;IF(OR(B43="Street Crossing",B43="Witness")," "&amp;K43,"")</f>
        <v>Acton/Maynard/Stow</v>
      </c>
      <c r="B43" s="2" t="s">
        <v>72</v>
      </c>
      <c r="I43" s="4" t="s">
        <v>41</v>
      </c>
      <c r="J43" s="4" t="s">
        <v>41</v>
      </c>
      <c r="K43" s="2" t="s">
        <v>273</v>
      </c>
      <c r="L43" s="2"/>
      <c r="M43" s="2" t="s">
        <v>274</v>
      </c>
      <c r="N43" s="2" t="s">
        <v>43</v>
      </c>
      <c r="O43" s="21" t="s">
        <v>275</v>
      </c>
      <c r="P43" s="2" t="s">
        <v>276</v>
      </c>
      <c r="Q43" s="2" t="s">
        <v>277</v>
      </c>
      <c r="R43" s="2"/>
      <c r="S43" s="4" t="s">
        <v>77</v>
      </c>
      <c r="T43" s="4" t="n">
        <v>42.4503286410001</v>
      </c>
      <c r="U43" s="4" t="n">
        <f aca="false">ABS(TRUNC(T43))</f>
        <v>42</v>
      </c>
      <c r="V43" s="15" t="n">
        <f aca="false">TRUNC(ABS(T43-TRUNC(T43))*60)</f>
        <v>27</v>
      </c>
      <c r="W43" s="16" t="n">
        <f aca="false">(T43 -(U43+V43/60))*60*60</f>
        <v>1.18310760034319</v>
      </c>
      <c r="X43" s="4" t="n">
        <v>-71.4643289959999</v>
      </c>
      <c r="Y43" s="4" t="n">
        <f aca="false">ABS(TRUNC(X43))</f>
        <v>71</v>
      </c>
      <c r="Z43" s="15" t="n">
        <f aca="false">TRUNC(ABS(X43-TRUNC(X43))*60)</f>
        <v>27</v>
      </c>
      <c r="AA43" s="16" t="n">
        <f aca="false">(ABS(X43) -(Y43+Z43/60))*60*60</f>
        <v>51.5843855996536</v>
      </c>
      <c r="AB43" s="17" t="str">
        <f aca="false">IF(ISBLANK(T43),"","https://openstreetmap.org/?mlat="&amp;T43&amp;"&amp;mlon="&amp;X43&amp;"#map=16/"&amp;T43&amp;"/"&amp;X43)</f>
        <v>https://openstreetmap.org/?mlat=42.4503286410001&amp;mlon=-71.4643289959999#map=16/42.4503286410001/-71.4643289959999</v>
      </c>
      <c r="AD43" s="15" t="n">
        <v>46</v>
      </c>
    </row>
    <row r="44" customFormat="false" ht="90.25" hidden="false" customHeight="false" outlineLevel="0" collapsed="false">
      <c r="A44" s="2" t="str">
        <f aca="false">"Acton"&amp;IF(C44="X","/Boxborough","")&amp;IF(F44="X","/Carlisle","")&amp;IF(G44="X","/Concord","")&amp;IF(D44="X","/Littleton","")&amp;IF(I44="X","/Maynard","")&amp;IF(J44="X","/Stow","")&amp;IF(H44="X","/Sudbury","")&amp;IF(E44="X","/Westford","")&amp;IF(ISBLANK(AC44),""," "&amp;AC44) &amp;IF(OR(B44="Street Crossing",B44="Witness")," "&amp;K44,"")</f>
        <v>Acton/Stow Liberty Street</v>
      </c>
      <c r="B44" s="2" t="s">
        <v>40</v>
      </c>
      <c r="J44" s="4" t="s">
        <v>41</v>
      </c>
      <c r="K44" s="2" t="s">
        <v>273</v>
      </c>
      <c r="L44" s="2"/>
      <c r="M44" s="2"/>
      <c r="N44" s="2" t="s">
        <v>43</v>
      </c>
      <c r="O44" s="21" t="s">
        <v>238</v>
      </c>
      <c r="P44" s="2" t="s">
        <v>278</v>
      </c>
      <c r="Q44" s="2" t="s">
        <v>279</v>
      </c>
      <c r="R44" s="2"/>
      <c r="S44" s="4" t="s">
        <v>46</v>
      </c>
      <c r="T44" s="14" t="s">
        <v>280</v>
      </c>
      <c r="U44" s="4" t="n">
        <f aca="false">IF(ISBLANK(T44),"",ABS(TRUNC(T44)))</f>
        <v>42</v>
      </c>
      <c r="V44" s="15" t="n">
        <f aca="false">IF(ISBLANK(T44),"",TRUNC(ABS(T44-TRUNC(T44))*60))</f>
        <v>27</v>
      </c>
      <c r="W44" s="16" t="n">
        <f aca="false">IF(ISBLANK(T44),"",(T44 -(U44+V44/60))*60*60)</f>
        <v>5.41079999999852</v>
      </c>
      <c r="X44" s="14" t="s">
        <v>281</v>
      </c>
      <c r="Y44" s="4" t="n">
        <f aca="false">ABS(TRUNC(X44))</f>
        <v>71</v>
      </c>
      <c r="Z44" s="15" t="n">
        <f aca="false">TRUNC(ABS(X44-TRUNC(X44))*60)</f>
        <v>28</v>
      </c>
      <c r="AA44" s="16" t="n">
        <f aca="false">(ABS(X44) -(Y44+Z44/60))*60*60</f>
        <v>2.35919999997805</v>
      </c>
      <c r="AB44" s="17" t="str">
        <f aca="false">IF(ISBLANK(T44),"","https://openstreetmap.org/?mlat="&amp;T44&amp;"&amp;mlon="&amp;X44&amp;"#map=16/"&amp;T44&amp;"/"&amp;X44)</f>
        <v>https://openstreetmap.org/?mlat=42.451503&amp;mlon=-71.467322#map=16/42.451503/-71.467322</v>
      </c>
      <c r="AD44" s="15" t="n">
        <v>45</v>
      </c>
    </row>
    <row r="45" customFormat="false" ht="77.6" hidden="false" customHeight="false" outlineLevel="0" collapsed="false">
      <c r="A45" s="2" t="str">
        <f aca="false">"Acton"&amp;IF(C45="X","/Boxborough","")&amp;IF(F45="X","/Carlisle","")&amp;IF(G45="X","/Concord","")&amp;IF(D45="X","/Littleton","")&amp;IF(I45="X","/Maynard","")&amp;IF(J45="X","/Stow","")&amp;IF(H45="X","/Sudbury","")&amp;IF(E45="X","/Westford","")&amp;IF(ISBLANK(AC45),""," "&amp;AC45) &amp;IF(OR(B45="Street Crossing",B45="Witness")," "&amp;K45,"")</f>
        <v>Acton/Stow Stow Street</v>
      </c>
      <c r="B45" s="2" t="s">
        <v>40</v>
      </c>
      <c r="J45" s="4" t="s">
        <v>41</v>
      </c>
      <c r="K45" s="2" t="s">
        <v>282</v>
      </c>
      <c r="L45" s="2" t="s">
        <v>283</v>
      </c>
      <c r="M45" s="2" t="s">
        <v>284</v>
      </c>
      <c r="N45" s="2" t="s">
        <v>43</v>
      </c>
      <c r="O45" s="21" t="s">
        <v>238</v>
      </c>
      <c r="P45" s="2" t="s">
        <v>285</v>
      </c>
      <c r="Q45" s="2" t="s">
        <v>286</v>
      </c>
      <c r="R45" s="2"/>
      <c r="S45" s="4" t="s">
        <v>46</v>
      </c>
      <c r="T45" s="14" t="s">
        <v>287</v>
      </c>
      <c r="U45" s="4" t="n">
        <f aca="false">IF(ISBLANK(T45),"",ABS(TRUNC(T45)))</f>
        <v>42</v>
      </c>
      <c r="V45" s="15" t="n">
        <f aca="false">IF(ISBLANK(T45),"",TRUNC(ABS(T45-TRUNC(T45))*60))</f>
        <v>27</v>
      </c>
      <c r="W45" s="16" t="n">
        <f aca="false">IF(ISBLANK(T45),"",(T45 -(U45+V45/60))*60*60)</f>
        <v>12.2039999999856</v>
      </c>
      <c r="X45" s="14" t="s">
        <v>288</v>
      </c>
      <c r="Y45" s="4" t="n">
        <f aca="false">ABS(TRUNC(X45))</f>
        <v>71</v>
      </c>
      <c r="Z45" s="15" t="n">
        <f aca="false">TRUNC(ABS(X45-TRUNC(X45))*60)</f>
        <v>28</v>
      </c>
      <c r="AA45" s="16" t="n">
        <f aca="false">(ABS(X45) -(Y45+Z45/60))*60*60</f>
        <v>19.6175999999923</v>
      </c>
      <c r="AB45" s="17" t="str">
        <f aca="false">IF(ISBLANK(T45),"","https://openstreetmap.org/?mlat="&amp;T45&amp;"&amp;mlon="&amp;X45&amp;"#map=16/"&amp;T45&amp;"/"&amp;X45)</f>
        <v>https://openstreetmap.org/?mlat=42.453390&amp;mlon=-71.472116#map=16/42.453390/-71.472116</v>
      </c>
      <c r="AD45" s="15" t="n">
        <v>44</v>
      </c>
    </row>
    <row r="46" customFormat="false" ht="64.9" hidden="false" customHeight="false" outlineLevel="0" collapsed="false">
      <c r="A46" s="2" t="str">
        <f aca="false">"Acton"&amp;IF(C46="X","/Boxborough","")&amp;IF(F46="X","/Carlisle","")&amp;IF(G46="X","/Concord","")&amp;IF(D46="X","/Littleton","")&amp;IF(I46="X","/Maynard","")&amp;IF(J46="X","/Stow","")&amp;IF(H46="X","/Sudbury","")&amp;IF(E46="X","/Westford","")&amp;IF(ISBLANK(AC46),""," "&amp;AC46) &amp;IF(OR(B46="Street Crossing",B46="Witness")," "&amp;K46,"")</f>
        <v>Acton/Stow Willow Street</v>
      </c>
      <c r="B46" s="2" t="s">
        <v>40</v>
      </c>
      <c r="J46" s="4" t="s">
        <v>41</v>
      </c>
      <c r="K46" s="2" t="s">
        <v>289</v>
      </c>
      <c r="L46" s="2" t="s">
        <v>290</v>
      </c>
      <c r="M46" s="2"/>
      <c r="N46" s="2" t="s">
        <v>43</v>
      </c>
      <c r="O46" s="21" t="s">
        <v>238</v>
      </c>
      <c r="P46" s="2" t="s">
        <v>291</v>
      </c>
      <c r="Q46" s="2" t="s">
        <v>292</v>
      </c>
      <c r="R46" s="2"/>
      <c r="S46" s="4" t="s">
        <v>46</v>
      </c>
      <c r="T46" s="14" t="s">
        <v>293</v>
      </c>
      <c r="U46" s="4" t="n">
        <f aca="false">IF(ISBLANK(T46),"",ABS(TRUNC(T46)))</f>
        <v>42</v>
      </c>
      <c r="V46" s="15" t="n">
        <f aca="false">IF(ISBLANK(T46),"",TRUNC(ABS(T46-TRUNC(T46))*60))</f>
        <v>27</v>
      </c>
      <c r="W46" s="16" t="n">
        <f aca="false">IF(ISBLANK(T46),"",(T46 -(U46+V46/60))*60*60)</f>
        <v>34.8911999999785</v>
      </c>
      <c r="X46" s="14" t="s">
        <v>294</v>
      </c>
      <c r="Y46" s="4" t="n">
        <f aca="false">ABS(TRUNC(X46))</f>
        <v>71</v>
      </c>
      <c r="Z46" s="15" t="n">
        <f aca="false">TRUNC(ABS(X46-TRUNC(X46))*60)</f>
        <v>29</v>
      </c>
      <c r="AA46" s="16" t="n">
        <f aca="false">(ABS(X46) -(Y46+Z46/60))*60*60</f>
        <v>17.3075999999924</v>
      </c>
      <c r="AB46" s="17" t="str">
        <f aca="false">IF(ISBLANK(T46),"","https://openstreetmap.org/?mlat="&amp;T46&amp;"&amp;mlon="&amp;X46&amp;"#map=16/"&amp;T46&amp;"/"&amp;X46)</f>
        <v>https://openstreetmap.org/?mlat=42.459692&amp;mlon=-71.488141#map=16/42.459692/-71.488141</v>
      </c>
      <c r="AD46" s="15" t="n">
        <v>43</v>
      </c>
    </row>
    <row r="47" customFormat="false" ht="77.6" hidden="false" customHeight="false" outlineLevel="0" collapsed="false">
      <c r="A47" s="2" t="str">
        <f aca="false">"Acton"&amp;IF(C47="X","/Boxborough","")&amp;IF(F47="X","/Carlisle","")&amp;IF(G47="X","/Concord","")&amp;IF(D47="X","/Littleton","")&amp;IF(I47="X","/Maynard","")&amp;IF(J47="X","/Stow","")&amp;IF(H47="X","/Sudbury","")&amp;IF(E47="X","/Westford","")&amp;IF(ISBLANK(AC47),""," "&amp;AC47) &amp;IF(OR(B47="Street Crossing",B47="Witness")," "&amp;K47,"")</f>
        <v>Acton/Westford</v>
      </c>
      <c r="B47" s="2" t="s">
        <v>72</v>
      </c>
      <c r="E47" s="4" t="s">
        <v>41</v>
      </c>
      <c r="K47" s="2" t="s">
        <v>295</v>
      </c>
      <c r="L47" s="2"/>
      <c r="M47" s="2" t="s">
        <v>296</v>
      </c>
      <c r="N47" s="2" t="s">
        <v>56</v>
      </c>
      <c r="O47" s="12" t="n">
        <v>45580</v>
      </c>
      <c r="P47" s="2" t="s">
        <v>297</v>
      </c>
      <c r="Q47" s="2" t="s">
        <v>298</v>
      </c>
      <c r="R47" s="2"/>
      <c r="S47" s="4" t="s">
        <v>77</v>
      </c>
      <c r="T47" s="4" t="n">
        <v>42.5261982760001</v>
      </c>
      <c r="U47" s="4" t="n">
        <f aca="false">ABS(TRUNC(T47))</f>
        <v>42</v>
      </c>
      <c r="V47" s="15" t="n">
        <f aca="false">TRUNC(ABS(T47-TRUNC(T47))*60)</f>
        <v>31</v>
      </c>
      <c r="W47" s="16" t="n">
        <f aca="false">(T47 -(U47+V47/60))*60*60</f>
        <v>34.31379360037</v>
      </c>
      <c r="X47" s="4" t="n">
        <v>-71.42379555</v>
      </c>
      <c r="Y47" s="4" t="n">
        <f aca="false">ABS(TRUNC(X47))</f>
        <v>71</v>
      </c>
      <c r="Z47" s="15" t="n">
        <f aca="false">TRUNC(ABS(X47-TRUNC(X47))*60)</f>
        <v>25</v>
      </c>
      <c r="AA47" s="16" t="n">
        <f aca="false">(ABS(X47) -(Y47+Z47/60))*60*60</f>
        <v>25.6639799999618</v>
      </c>
      <c r="AB47" s="17" t="str">
        <f aca="false">IF(ISBLANK(T47),"","https://openstreetmap.org/?mlat="&amp;T47&amp;"&amp;mlon="&amp;X47&amp;"#map=16/"&amp;T47&amp;"/"&amp;X47)</f>
        <v>https://openstreetmap.org/?mlat=42.5261982760001&amp;mlon=-71.42379555#map=16/42.5261982760001/-71.42379555</v>
      </c>
      <c r="AD47" s="15" t="n">
        <v>20</v>
      </c>
      <c r="AE47" s="4" t="s">
        <v>299</v>
      </c>
    </row>
    <row r="48" customFormat="false" ht="26.85" hidden="false" customHeight="false" outlineLevel="0" collapsed="false">
      <c r="A48" s="2" t="str">
        <f aca="false">"Acton"&amp;IF(C48="X","/Boxborough","")&amp;IF(F48="X","/Carlisle","")&amp;IF(G48="X","/Concord","")&amp;IF(D48="X","/Littleton","")&amp;IF(I48="X","/Maynard","")&amp;IF(J48="X","/Stow","")&amp;IF(H48="X","/Sudbury","")&amp;IF(E48="X","/Westford","")&amp;IF(ISBLANK(AC48),""," "&amp;AC48) &amp;IF(OR(B48="Street Crossing",B48="Witness")," "&amp;K48,"")</f>
        <v>Acton/Westford Bay Drive (East)</v>
      </c>
      <c r="B48" s="2" t="s">
        <v>40</v>
      </c>
      <c r="E48" s="4" t="s">
        <v>41</v>
      </c>
      <c r="K48" s="2" t="s">
        <v>300</v>
      </c>
      <c r="L48" s="2"/>
      <c r="M48" s="2"/>
      <c r="N48" s="2" t="s">
        <v>56</v>
      </c>
      <c r="O48" s="12" t="n">
        <v>45580</v>
      </c>
      <c r="P48" s="2" t="s">
        <v>301</v>
      </c>
      <c r="Q48" s="2" t="s">
        <v>64</v>
      </c>
      <c r="R48" s="2"/>
      <c r="S48" s="4" t="s">
        <v>59</v>
      </c>
      <c r="T48" s="14" t="s">
        <v>302</v>
      </c>
      <c r="U48" s="4" t="n">
        <f aca="false">ABS(TRUNC(T48))</f>
        <v>42</v>
      </c>
      <c r="V48" s="15" t="n">
        <f aca="false">TRUNC(ABS(T48-TRUNC(T48))*60)</f>
        <v>31</v>
      </c>
      <c r="W48" s="16" t="n">
        <f aca="false">(T48 -(U48+V48/60))*60*60</f>
        <v>34.514400000009</v>
      </c>
      <c r="X48" s="14" t="s">
        <v>303</v>
      </c>
      <c r="Y48" s="4" t="n">
        <f aca="false">ABS(TRUNC(X48))</f>
        <v>71</v>
      </c>
      <c r="Z48" s="15" t="n">
        <f aca="false">TRUNC(ABS(X48-TRUNC(X48))*60)</f>
        <v>25</v>
      </c>
      <c r="AA48" s="16" t="n">
        <f aca="false">(ABS(X48) -(Y48+Z48/60))*60*60</f>
        <v>24.8051999999916</v>
      </c>
      <c r="AB48" s="17" t="str">
        <f aca="false">IF(ISBLANK(T48),"","https://openstreetmap.org/?mlat="&amp;T48&amp;"&amp;mlon="&amp;X48&amp;"#map=16/"&amp;T48&amp;"/"&amp;X48)</f>
        <v>https://openstreetmap.org/?mlat=42.526254&amp;mlon=-71.423557#map=16/42.526254/-71.423557</v>
      </c>
      <c r="AD48" s="15" t="n">
        <v>19</v>
      </c>
      <c r="AE48" s="4" t="s">
        <v>193</v>
      </c>
    </row>
    <row r="49" customFormat="false" ht="26.85" hidden="false" customHeight="false" outlineLevel="0" collapsed="false">
      <c r="A49" s="2" t="str">
        <f aca="false">"Acton"&amp;IF(C49="X","/Boxborough","")&amp;IF(F49="X","/Carlisle","")&amp;IF(G49="X","/Concord","")&amp;IF(D49="X","/Littleton","")&amp;IF(I49="X","/Maynard","")&amp;IF(J49="X","/Stow","")&amp;IF(H49="X","/Sudbury","")&amp;IF(E49="X","/Westford","")&amp;IF(ISBLANK(AC49),""," "&amp;AC49) &amp;IF(OR(B49="Street Crossing",B49="Witness")," "&amp;K49,"")</f>
        <v>Acton/Westford Bay Drive (West)</v>
      </c>
      <c r="B49" s="2" t="s">
        <v>40</v>
      </c>
      <c r="E49" s="4" t="s">
        <v>41</v>
      </c>
      <c r="K49" s="2" t="s">
        <v>304</v>
      </c>
      <c r="L49" s="2"/>
      <c r="M49" s="2"/>
      <c r="N49" s="2" t="s">
        <v>56</v>
      </c>
      <c r="O49" s="12" t="n">
        <v>45580</v>
      </c>
      <c r="P49" s="2" t="s">
        <v>301</v>
      </c>
      <c r="Q49" s="2" t="s">
        <v>64</v>
      </c>
      <c r="R49" s="2"/>
      <c r="S49" s="4" t="s">
        <v>59</v>
      </c>
      <c r="T49" s="14" t="s">
        <v>305</v>
      </c>
      <c r="U49" s="4" t="n">
        <f aca="false">ABS(TRUNC(T49))</f>
        <v>42</v>
      </c>
      <c r="V49" s="15" t="n">
        <f aca="false">TRUNC(ABS(T49-TRUNC(T49))*60)</f>
        <v>31</v>
      </c>
      <c r="W49" s="16" t="n">
        <f aca="false">(T49 -(U49+V49/60))*60*60</f>
        <v>37.3979999999932</v>
      </c>
      <c r="X49" s="14" t="s">
        <v>306</v>
      </c>
      <c r="Y49" s="4" t="n">
        <f aca="false">ABS(TRUNC(X49))</f>
        <v>71</v>
      </c>
      <c r="Z49" s="15" t="n">
        <f aca="false">TRUNC(ABS(X49-TRUNC(X49))*60)</f>
        <v>25</v>
      </c>
      <c r="AA49" s="16" t="n">
        <f aca="false">(ABS(X49) -(Y49+Z49/60))*60*60</f>
        <v>31.4183999999727</v>
      </c>
      <c r="AB49" s="17" t="str">
        <f aca="false">IF(ISBLANK(T49),"","https://openstreetmap.org/?mlat="&amp;T49&amp;"&amp;mlon="&amp;X49&amp;"#map=16/"&amp;T49&amp;"/"&amp;X49)</f>
        <v>https://openstreetmap.org/?mlat=42.527055&amp;mlon=-71.425394#map=16/42.527055/-71.425394</v>
      </c>
      <c r="AD49" s="15" t="n">
        <v>21</v>
      </c>
    </row>
    <row r="50" customFormat="false" ht="128.35" hidden="false" customHeight="false" outlineLevel="0" collapsed="false">
      <c r="A50" s="2" t="str">
        <f aca="false">"Acton"&amp;IF(C50="X","/Boxborough","")&amp;IF(F50="X","/Carlisle","")&amp;IF(G50="X","/Concord","")&amp;IF(D50="X","/Littleton","")&amp;IF(I50="X","/Maynard","")&amp;IF(J50="X","/Stow","")&amp;IF(H50="X","/Sudbury","")&amp;IF(E50="X","/Westford","")&amp;IF(ISBLANK(AC50),""," "&amp;AC50) &amp;IF(OR(B50="Street Crossing",B50="Witness")," "&amp;K50,"")</f>
        <v>Acton/Westford Bear Hill Road (in 1904)</v>
      </c>
      <c r="B50" s="2" t="s">
        <v>40</v>
      </c>
      <c r="E50" s="4" t="s">
        <v>41</v>
      </c>
      <c r="K50" s="2" t="s">
        <v>307</v>
      </c>
      <c r="L50" s="2"/>
      <c r="M50" s="2"/>
      <c r="N50" s="2" t="s">
        <v>102</v>
      </c>
      <c r="O50" s="12"/>
      <c r="P50" s="2" t="s">
        <v>308</v>
      </c>
      <c r="Q50" s="2" t="s">
        <v>309</v>
      </c>
      <c r="R50" s="2" t="s">
        <v>310</v>
      </c>
      <c r="S50" s="4" t="s">
        <v>311</v>
      </c>
      <c r="T50" s="14" t="s">
        <v>312</v>
      </c>
      <c r="U50" s="4" t="n">
        <f aca="false">ABS(TRUNC(T50))</f>
        <v>42</v>
      </c>
      <c r="V50" s="15" t="n">
        <f aca="false">TRUNC(ABS(T50-TRUNC(T50))*60)</f>
        <v>31</v>
      </c>
      <c r="W50" s="16" t="n">
        <f aca="false">(T50 -(U50+V50/60))*60*60</f>
        <v>51.0420000000011</v>
      </c>
      <c r="X50" s="14" t="s">
        <v>313</v>
      </c>
      <c r="Y50" s="4" t="n">
        <f aca="false">ABS(TRUNC(X50))</f>
        <v>71</v>
      </c>
      <c r="Z50" s="15" t="n">
        <f aca="false">TRUNC(ABS(X50-TRUNC(X50))*60)</f>
        <v>24</v>
      </c>
      <c r="AA50" s="16" t="n">
        <f aca="false">(ABS(X50) -(Y50+Z50/60))*60*60</f>
        <v>33.595200000002</v>
      </c>
      <c r="AB50" s="17" t="str">
        <f aca="false">IF(ISBLANK(T50),"","https://openstreetmap.org/?mlat="&amp;T50&amp;"&amp;mlon="&amp;X50&amp;"#map=16/"&amp;T50&amp;"/"&amp;X50)</f>
        <v>https://openstreetmap.org/?mlat=42.530845&amp;mlon=-71.409332#map=16/42.530845/-71.409332</v>
      </c>
      <c r="AD50" s="15" t="n">
        <v>18</v>
      </c>
      <c r="AE50" s="4" t="s">
        <v>314</v>
      </c>
    </row>
    <row r="51" customFormat="false" ht="52.2" hidden="false" customHeight="false" outlineLevel="0" collapsed="false">
      <c r="A51" s="2" t="str">
        <f aca="false">"Acton"&amp;IF(C51="X","/Boxborough","")&amp;IF(F51="X","/Carlisle","")&amp;IF(G51="X","/Concord","")&amp;IF(D51="X","/Littleton","")&amp;IF(I51="X","/Maynard","")&amp;IF(J51="X","/Stow","")&amp;IF(H51="X","/Sudbury","")&amp;IF(E51="X","/Westford","")&amp;IF(ISBLANK(AC51),""," "&amp;AC51) &amp;IF(OR(B51="Street Crossing",B51="Witness")," "&amp;K51,"")</f>
        <v>Acton/Westford unknown road</v>
      </c>
      <c r="B51" s="2" t="s">
        <v>40</v>
      </c>
      <c r="E51" s="4" t="s">
        <v>315</v>
      </c>
      <c r="K51" s="2" t="s">
        <v>101</v>
      </c>
      <c r="L51" s="2"/>
      <c r="M51" s="2"/>
      <c r="N51" s="2" t="s">
        <v>102</v>
      </c>
      <c r="O51" s="12"/>
      <c r="P51" s="2" t="s">
        <v>316</v>
      </c>
      <c r="Q51" s="2" t="s">
        <v>317</v>
      </c>
      <c r="R51" s="2"/>
      <c r="T51" s="14"/>
      <c r="V51" s="15"/>
      <c r="W51" s="16"/>
      <c r="X51" s="14"/>
      <c r="Z51" s="15"/>
      <c r="AA51" s="16"/>
      <c r="AB51" s="4" t="str">
        <f aca="false">IF(ISBLANK(T51),"","https://openstreetmap.org/?mlat="&amp;T51&amp;"&amp;mlon="&amp;X51&amp;"#map=16/"&amp;T51&amp;"/"&amp;X51)</f>
        <v/>
      </c>
      <c r="AD51" s="15" t="n">
        <v>23</v>
      </c>
      <c r="AE51" s="4" t="s">
        <v>318</v>
      </c>
    </row>
    <row r="52" customFormat="false" ht="77.6" hidden="false" customHeight="false" outlineLevel="0" collapsed="false">
      <c r="A52" s="2" t="str">
        <f aca="false">"Acton"&amp;IF(C52="X","/Boxborough","")&amp;IF(F52="X","/Carlisle","")&amp;IF(G52="X","/Concord","")&amp;IF(D52="X","/Littleton","")&amp;IF(I52="X","/Maynard","")&amp;IF(J52="X","/Stow","")&amp;IF(H52="X","/Sudbury","")&amp;IF(E52="X","/Westford","")&amp;IF(ISBLANK(AC52),""," "&amp;AC52) &amp;IF(OR(B52="Street Crossing",B52="Witness")," "&amp;K52,"")</f>
        <v>Acton/Westford Westford Lane</v>
      </c>
      <c r="B52" s="2" t="s">
        <v>40</v>
      </c>
      <c r="E52" s="4" t="s">
        <v>41</v>
      </c>
      <c r="K52" s="2" t="s">
        <v>229</v>
      </c>
      <c r="L52" s="2" t="s">
        <v>230</v>
      </c>
      <c r="M52" s="2" t="s">
        <v>295</v>
      </c>
      <c r="N52" s="2" t="s">
        <v>56</v>
      </c>
      <c r="O52" s="12" t="n">
        <v>45580</v>
      </c>
      <c r="P52" s="2" t="s">
        <v>319</v>
      </c>
      <c r="Q52" s="2" t="s">
        <v>320</v>
      </c>
      <c r="R52" s="2"/>
      <c r="S52" s="4" t="s">
        <v>59</v>
      </c>
      <c r="T52" s="14" t="s">
        <v>321</v>
      </c>
      <c r="U52" s="4" t="n">
        <f aca="false">ABS(TRUNC(T52))</f>
        <v>42</v>
      </c>
      <c r="V52" s="15" t="n">
        <f aca="false">TRUNC(ABS(T52-TRUNC(T52))*60)</f>
        <v>31</v>
      </c>
      <c r="W52" s="16" t="n">
        <f aca="false">(T52 -(U52+V52/60))*60*60</f>
        <v>39.2664000000082</v>
      </c>
      <c r="X52" s="14" t="s">
        <v>322</v>
      </c>
      <c r="Y52" s="4" t="n">
        <f aca="false">ABS(TRUNC(X52))</f>
        <v>71</v>
      </c>
      <c r="Z52" s="15" t="n">
        <f aca="false">TRUNC(ABS(X52-TRUNC(X52))*60)</f>
        <v>25</v>
      </c>
      <c r="AA52" s="16" t="n">
        <f aca="false">(ABS(X52) -(Y52+Z52/60))*60*60</f>
        <v>34.7843999999668</v>
      </c>
      <c r="AB52" s="17" t="str">
        <f aca="false">IF(ISBLANK(T52),"","https://openstreetmap.org/?mlat="&amp;T52&amp;"&amp;mlon="&amp;X52&amp;"#map=16/"&amp;T52&amp;"/"&amp;X52)</f>
        <v>https://openstreetmap.org/?mlat=42.527574&amp;mlon=-71.426329#map=16/42.527574/-71.426329</v>
      </c>
      <c r="AD52" s="15" t="n">
        <v>22</v>
      </c>
      <c r="AE52" s="4" t="s">
        <v>323</v>
      </c>
    </row>
    <row r="53" customFormat="false" ht="15.75" hidden="false" customHeight="false" outlineLevel="0" collapsed="false">
      <c r="A53" s="2"/>
      <c r="K53" s="2"/>
      <c r="L53" s="2"/>
      <c r="M53" s="2"/>
      <c r="N53" s="2"/>
      <c r="O53" s="12"/>
      <c r="P53" s="2"/>
      <c r="Q53" s="2"/>
      <c r="R53" s="2"/>
      <c r="T53" s="14"/>
      <c r="V53" s="15"/>
      <c r="W53" s="16"/>
      <c r="X53" s="14"/>
      <c r="AB53" s="4"/>
    </row>
    <row r="54" customFormat="false" ht="15.75" hidden="false" customHeight="false" outlineLevel="0" collapsed="false">
      <c r="A54" s="2"/>
      <c r="K54" s="2"/>
      <c r="L54" s="2"/>
      <c r="M54" s="2"/>
      <c r="N54" s="2"/>
      <c r="O54" s="12"/>
      <c r="P54" s="2"/>
      <c r="Q54" s="2"/>
      <c r="R54" s="2"/>
      <c r="T54" s="14"/>
      <c r="V54" s="15"/>
      <c r="W54" s="16"/>
      <c r="X54" s="14"/>
      <c r="AB54" s="4"/>
    </row>
    <row r="55" customFormat="false" ht="15.75" hidden="false" customHeight="false" outlineLevel="0" collapsed="false">
      <c r="A55" s="2"/>
      <c r="K55" s="2"/>
      <c r="L55" s="2"/>
      <c r="M55" s="2"/>
      <c r="N55" s="2"/>
      <c r="O55" s="12"/>
      <c r="P55" s="2"/>
      <c r="Q55" s="2"/>
      <c r="R55" s="2"/>
      <c r="T55" s="14"/>
      <c r="V55" s="15"/>
      <c r="W55" s="16"/>
      <c r="X55" s="14"/>
      <c r="AB55" s="4"/>
    </row>
    <row r="56" customFormat="false" ht="15.75" hidden="false" customHeight="false" outlineLevel="0" collapsed="false">
      <c r="A56" s="2"/>
      <c r="L56" s="2"/>
      <c r="M56" s="2"/>
      <c r="O56" s="23"/>
      <c r="Q56" s="2"/>
      <c r="R56" s="2"/>
      <c r="T56" s="14"/>
      <c r="V56" s="15"/>
      <c r="W56" s="16"/>
      <c r="X56" s="14"/>
      <c r="AB56" s="4"/>
    </row>
    <row r="57" customFormat="false" ht="15.75" hidden="false" customHeight="false" outlineLevel="0" collapsed="false">
      <c r="A57" s="2"/>
      <c r="L57" s="2"/>
      <c r="M57" s="2"/>
      <c r="O57" s="23"/>
      <c r="Q57" s="2"/>
      <c r="R57" s="2"/>
      <c r="T57" s="14"/>
      <c r="V57" s="15"/>
      <c r="W57" s="16"/>
      <c r="X57" s="14"/>
      <c r="AB57" s="4"/>
    </row>
    <row r="58" customFormat="false" ht="15.75" hidden="false" customHeight="false" outlineLevel="0" collapsed="false">
      <c r="A58" s="2"/>
      <c r="L58" s="2"/>
      <c r="M58" s="2"/>
      <c r="O58" s="23"/>
      <c r="Q58" s="2"/>
      <c r="R58" s="2"/>
      <c r="T58" s="14"/>
      <c r="V58" s="15"/>
      <c r="W58" s="16"/>
      <c r="X58" s="14"/>
      <c r="AB58" s="4"/>
    </row>
    <row r="59" customFormat="false" ht="15.75" hidden="false" customHeight="false" outlineLevel="0" collapsed="false">
      <c r="A59" s="2"/>
      <c r="L59" s="2"/>
      <c r="M59" s="2"/>
      <c r="O59" s="23"/>
      <c r="Q59" s="2"/>
      <c r="R59" s="2"/>
      <c r="T59" s="14"/>
      <c r="V59" s="15"/>
      <c r="W59" s="16"/>
      <c r="X59" s="14"/>
      <c r="AB59" s="4"/>
    </row>
    <row r="60" customFormat="false" ht="15.75" hidden="false" customHeight="false" outlineLevel="0" collapsed="false">
      <c r="A60" s="2"/>
      <c r="L60" s="2"/>
      <c r="M60" s="2"/>
      <c r="O60" s="23"/>
      <c r="Q60" s="2"/>
      <c r="R60" s="2"/>
      <c r="T60" s="14"/>
      <c r="V60" s="15"/>
      <c r="W60" s="16"/>
      <c r="X60" s="14"/>
      <c r="AB60" s="4"/>
    </row>
    <row r="61" customFormat="false" ht="15.75" hidden="false" customHeight="false" outlineLevel="0" collapsed="false">
      <c r="A61" s="2"/>
      <c r="L61" s="2"/>
      <c r="M61" s="2"/>
      <c r="O61" s="23"/>
      <c r="Q61" s="2"/>
      <c r="R61" s="2"/>
      <c r="T61" s="14"/>
      <c r="V61" s="15"/>
      <c r="W61" s="16"/>
      <c r="X61" s="14"/>
      <c r="AB61" s="4"/>
    </row>
    <row r="62" customFormat="false" ht="15.75" hidden="false" customHeight="false" outlineLevel="0" collapsed="false">
      <c r="A62" s="2"/>
      <c r="L62" s="2"/>
      <c r="M62" s="2"/>
      <c r="N62" s="2"/>
      <c r="O62" s="12"/>
      <c r="P62" s="2"/>
      <c r="Q62" s="2"/>
      <c r="R62" s="2"/>
      <c r="T62" s="14"/>
      <c r="V62" s="15"/>
      <c r="W62" s="16"/>
      <c r="X62" s="14"/>
      <c r="AB62" s="4"/>
    </row>
    <row r="63" customFormat="false" ht="15.75" hidden="false" customHeight="false" outlineLevel="0" collapsed="false">
      <c r="A63" s="2"/>
      <c r="L63" s="2"/>
      <c r="M63" s="2"/>
      <c r="N63" s="2"/>
      <c r="O63" s="12"/>
      <c r="P63" s="2"/>
      <c r="Q63" s="2"/>
      <c r="R63" s="2"/>
      <c r="T63" s="14"/>
      <c r="V63" s="15"/>
      <c r="W63" s="16"/>
      <c r="X63" s="14"/>
      <c r="AB63" s="4"/>
    </row>
    <row r="64" customFormat="false" ht="15.75" hidden="false" customHeight="false" outlineLevel="0" collapsed="false">
      <c r="A64" s="2"/>
      <c r="K64" s="2"/>
      <c r="L64" s="2"/>
      <c r="M64" s="2"/>
      <c r="N64" s="2"/>
      <c r="O64" s="12"/>
      <c r="P64" s="2"/>
      <c r="Q64" s="2"/>
      <c r="R64" s="2"/>
      <c r="T64" s="14"/>
      <c r="V64" s="15"/>
      <c r="W64" s="16"/>
      <c r="X64" s="14"/>
      <c r="AB64" s="4"/>
    </row>
    <row r="65" customFormat="false" ht="15.75" hidden="false" customHeight="false" outlineLevel="0" collapsed="false">
      <c r="A65" s="2"/>
      <c r="K65" s="2"/>
      <c r="L65" s="2"/>
      <c r="M65" s="2"/>
      <c r="N65" s="2"/>
      <c r="O65" s="12"/>
      <c r="P65" s="2"/>
      <c r="Q65" s="2"/>
      <c r="R65" s="2"/>
      <c r="T65" s="14"/>
      <c r="V65" s="15"/>
      <c r="W65" s="16"/>
      <c r="X65" s="14"/>
      <c r="AB65" s="4"/>
    </row>
    <row r="66" customFormat="false" ht="15.75" hidden="false" customHeight="false" outlineLevel="0" collapsed="false">
      <c r="A66" s="2"/>
      <c r="K66" s="2"/>
      <c r="L66" s="2"/>
      <c r="M66" s="2"/>
      <c r="N66" s="2"/>
      <c r="O66" s="12"/>
      <c r="P66" s="2"/>
      <c r="Q66" s="2"/>
      <c r="R66" s="2"/>
      <c r="T66" s="14"/>
      <c r="V66" s="15"/>
      <c r="W66" s="16"/>
      <c r="X66" s="14"/>
      <c r="AB66" s="4"/>
    </row>
    <row r="67" customFormat="false" ht="15.75" hidden="false" customHeight="false" outlineLevel="0" collapsed="false">
      <c r="A67" s="2"/>
      <c r="K67" s="2"/>
      <c r="L67" s="2"/>
      <c r="M67" s="2"/>
      <c r="N67" s="2"/>
      <c r="O67" s="12"/>
      <c r="P67" s="2"/>
      <c r="Q67" s="2"/>
      <c r="R67" s="2"/>
      <c r="T67" s="14"/>
      <c r="V67" s="15"/>
      <c r="W67" s="16"/>
      <c r="X67" s="14"/>
      <c r="AB67" s="4"/>
    </row>
    <row r="68" customFormat="false" ht="15.75" hidden="false" customHeight="false" outlineLevel="0" collapsed="false">
      <c r="A68" s="2"/>
      <c r="K68" s="2"/>
      <c r="L68" s="2"/>
      <c r="M68" s="2"/>
      <c r="N68" s="2"/>
      <c r="O68" s="12"/>
      <c r="P68" s="2"/>
      <c r="Q68" s="2"/>
      <c r="R68" s="2"/>
      <c r="T68" s="14"/>
      <c r="V68" s="15"/>
      <c r="W68" s="16"/>
      <c r="X68" s="14"/>
      <c r="AB68" s="4"/>
    </row>
    <row r="69" customFormat="false" ht="15.75" hidden="false" customHeight="false" outlineLevel="0" collapsed="false">
      <c r="A69" s="2"/>
      <c r="K69" s="2"/>
      <c r="L69" s="2"/>
      <c r="M69" s="2"/>
      <c r="N69" s="2"/>
      <c r="O69" s="12"/>
      <c r="P69" s="2"/>
      <c r="Q69" s="2"/>
      <c r="R69" s="2"/>
      <c r="T69" s="14"/>
      <c r="V69" s="15"/>
      <c r="W69" s="16"/>
      <c r="X69" s="14"/>
      <c r="AB69" s="4"/>
    </row>
    <row r="70" customFormat="false" ht="15.75" hidden="false" customHeight="false" outlineLevel="0" collapsed="false">
      <c r="A70" s="2"/>
      <c r="K70" s="2"/>
      <c r="L70" s="2"/>
      <c r="M70" s="2"/>
      <c r="N70" s="2"/>
      <c r="O70" s="12"/>
      <c r="P70" s="2"/>
      <c r="Q70" s="2"/>
      <c r="R70" s="2"/>
      <c r="T70" s="14"/>
      <c r="V70" s="15"/>
      <c r="W70" s="16"/>
      <c r="X70" s="14"/>
      <c r="AB70" s="4"/>
    </row>
    <row r="71" customFormat="false" ht="15.75" hidden="false" customHeight="false" outlineLevel="0" collapsed="false">
      <c r="A71" s="2"/>
      <c r="K71" s="2"/>
      <c r="L71" s="2"/>
      <c r="M71" s="2"/>
      <c r="N71" s="2"/>
      <c r="O71" s="12"/>
      <c r="P71" s="2"/>
      <c r="Q71" s="2"/>
      <c r="R71" s="2"/>
      <c r="T71" s="14"/>
      <c r="V71" s="15"/>
      <c r="W71" s="16"/>
      <c r="X71" s="14"/>
      <c r="AB71" s="4"/>
    </row>
    <row r="72" customFormat="false" ht="15.75" hidden="false" customHeight="false" outlineLevel="0" collapsed="false">
      <c r="A72" s="2"/>
      <c r="K72" s="2"/>
      <c r="L72" s="2"/>
      <c r="M72" s="2"/>
      <c r="N72" s="2"/>
      <c r="O72" s="12"/>
      <c r="P72" s="2"/>
      <c r="Q72" s="2"/>
      <c r="R72" s="2"/>
      <c r="T72" s="14"/>
      <c r="V72" s="15"/>
      <c r="W72" s="16"/>
      <c r="X72" s="14"/>
      <c r="AB72" s="4"/>
    </row>
    <row r="73" customFormat="false" ht="15.75" hidden="false" customHeight="false" outlineLevel="0" collapsed="false">
      <c r="A73" s="2"/>
      <c r="K73" s="2"/>
      <c r="L73" s="2"/>
      <c r="M73" s="2"/>
      <c r="N73" s="2"/>
      <c r="O73" s="12"/>
      <c r="P73" s="2"/>
      <c r="Q73" s="2"/>
      <c r="R73" s="2"/>
      <c r="T73" s="14"/>
      <c r="V73" s="15"/>
      <c r="W73" s="16"/>
      <c r="X73" s="14"/>
      <c r="AB73" s="4"/>
    </row>
    <row r="74" customFormat="false" ht="15.75" hidden="false" customHeight="false" outlineLevel="0" collapsed="false">
      <c r="A74" s="2"/>
      <c r="K74" s="2"/>
      <c r="L74" s="2"/>
      <c r="M74" s="2"/>
      <c r="N74" s="2"/>
      <c r="O74" s="12"/>
      <c r="P74" s="2"/>
      <c r="Q74" s="2"/>
      <c r="R74" s="2"/>
      <c r="T74" s="14"/>
      <c r="V74" s="15"/>
      <c r="W74" s="16"/>
      <c r="X74" s="14"/>
      <c r="AB74" s="4"/>
    </row>
    <row r="75" customFormat="false" ht="15.75" hidden="false" customHeight="false" outlineLevel="0" collapsed="false">
      <c r="A75" s="2"/>
      <c r="K75" s="2"/>
      <c r="L75" s="2"/>
      <c r="M75" s="2"/>
      <c r="N75" s="2"/>
      <c r="O75" s="12"/>
      <c r="P75" s="2"/>
      <c r="Q75" s="2"/>
      <c r="R75" s="2"/>
      <c r="T75" s="14"/>
      <c r="V75" s="15"/>
      <c r="W75" s="16"/>
      <c r="X75" s="14"/>
      <c r="AB75" s="4"/>
    </row>
    <row r="76" customFormat="false" ht="15.75" hidden="false" customHeight="false" outlineLevel="0" collapsed="false">
      <c r="A76" s="2"/>
      <c r="K76" s="2"/>
      <c r="L76" s="2"/>
      <c r="M76" s="2"/>
      <c r="N76" s="2"/>
      <c r="O76" s="12"/>
      <c r="P76" s="2"/>
      <c r="Q76" s="2"/>
      <c r="R76" s="2"/>
      <c r="T76" s="14"/>
      <c r="V76" s="15"/>
      <c r="W76" s="16"/>
      <c r="X76" s="14"/>
      <c r="AB76" s="4"/>
    </row>
    <row r="77" customFormat="false" ht="15.75" hidden="false" customHeight="false" outlineLevel="0" collapsed="false">
      <c r="A77" s="2"/>
      <c r="K77" s="2"/>
      <c r="L77" s="2"/>
      <c r="M77" s="2"/>
      <c r="N77" s="2"/>
      <c r="O77" s="12"/>
      <c r="P77" s="2"/>
      <c r="Q77" s="2"/>
      <c r="R77" s="2"/>
      <c r="T77" s="14"/>
      <c r="V77" s="15"/>
      <c r="W77" s="16"/>
      <c r="X77" s="14"/>
      <c r="AB77" s="4"/>
    </row>
    <row r="78" customFormat="false" ht="15.75" hidden="false" customHeight="false" outlineLevel="0" collapsed="false">
      <c r="A78" s="2"/>
      <c r="K78" s="2"/>
      <c r="L78" s="2"/>
      <c r="M78" s="2"/>
      <c r="N78" s="2"/>
      <c r="O78" s="12"/>
      <c r="P78" s="2"/>
      <c r="Q78" s="2"/>
      <c r="R78" s="2"/>
      <c r="T78" s="14"/>
      <c r="V78" s="15"/>
      <c r="W78" s="16"/>
      <c r="X78" s="14"/>
      <c r="AB78" s="4"/>
    </row>
    <row r="79" customFormat="false" ht="15.75" hidden="false" customHeight="false" outlineLevel="0" collapsed="false">
      <c r="A79" s="2"/>
      <c r="K79" s="2"/>
      <c r="L79" s="2"/>
      <c r="M79" s="2"/>
      <c r="N79" s="2"/>
      <c r="O79" s="12"/>
      <c r="P79" s="2"/>
      <c r="Q79" s="2"/>
      <c r="R79" s="2"/>
      <c r="T79" s="14"/>
      <c r="V79" s="15"/>
      <c r="W79" s="16"/>
      <c r="X79" s="14"/>
      <c r="AB79" s="4"/>
    </row>
    <row r="80" customFormat="false" ht="15.75" hidden="false" customHeight="false" outlineLevel="0" collapsed="false">
      <c r="A80" s="2"/>
      <c r="K80" s="2"/>
      <c r="L80" s="2"/>
      <c r="M80" s="2"/>
      <c r="N80" s="2"/>
      <c r="O80" s="12"/>
      <c r="P80" s="2"/>
      <c r="Q80" s="2"/>
      <c r="R80" s="2"/>
      <c r="T80" s="14"/>
      <c r="V80" s="15"/>
      <c r="W80" s="16"/>
      <c r="X80" s="14"/>
      <c r="AB80" s="4"/>
    </row>
    <row r="81" customFormat="false" ht="15.75" hidden="false" customHeight="false" outlineLevel="0" collapsed="false">
      <c r="A81" s="2"/>
      <c r="K81" s="2"/>
      <c r="L81" s="2"/>
      <c r="M81" s="2"/>
      <c r="N81" s="2"/>
      <c r="O81" s="12"/>
      <c r="P81" s="2"/>
      <c r="Q81" s="2"/>
      <c r="R81" s="2"/>
      <c r="T81" s="14"/>
      <c r="V81" s="15"/>
      <c r="W81" s="16"/>
      <c r="X81" s="14"/>
      <c r="AB81" s="4"/>
    </row>
    <row r="82" customFormat="false" ht="15.75" hidden="false" customHeight="false" outlineLevel="0" collapsed="false">
      <c r="A82" s="2"/>
      <c r="K82" s="2"/>
      <c r="L82" s="2"/>
      <c r="M82" s="2"/>
      <c r="N82" s="2"/>
      <c r="O82" s="12"/>
      <c r="P82" s="2"/>
      <c r="Q82" s="2"/>
      <c r="R82" s="2"/>
      <c r="T82" s="14"/>
      <c r="V82" s="15"/>
      <c r="W82" s="16"/>
      <c r="X82" s="14"/>
      <c r="AB82" s="4"/>
    </row>
    <row r="83" customFormat="false" ht="15.75" hidden="false" customHeight="false" outlineLevel="0" collapsed="false">
      <c r="A83" s="2"/>
      <c r="K83" s="2"/>
      <c r="L83" s="2"/>
      <c r="M83" s="2"/>
      <c r="N83" s="2"/>
      <c r="O83" s="12"/>
      <c r="P83" s="2"/>
      <c r="Q83" s="2"/>
      <c r="R83" s="2"/>
      <c r="T83" s="14"/>
      <c r="V83" s="15"/>
      <c r="W83" s="16"/>
      <c r="X83" s="14"/>
      <c r="AB83" s="4"/>
    </row>
    <row r="84" customFormat="false" ht="15.75" hidden="false" customHeight="false" outlineLevel="0" collapsed="false">
      <c r="A84" s="2"/>
      <c r="K84" s="2"/>
      <c r="L84" s="2"/>
      <c r="M84" s="2"/>
      <c r="N84" s="2"/>
      <c r="O84" s="12"/>
      <c r="P84" s="2"/>
      <c r="Q84" s="2"/>
      <c r="R84" s="2"/>
      <c r="T84" s="14"/>
      <c r="V84" s="15"/>
      <c r="W84" s="16"/>
      <c r="X84" s="14"/>
      <c r="AB84" s="4"/>
    </row>
    <row r="85" customFormat="false" ht="15.75" hidden="false" customHeight="false" outlineLevel="0" collapsed="false">
      <c r="A85" s="2"/>
      <c r="K85" s="2"/>
      <c r="L85" s="2"/>
      <c r="M85" s="2"/>
      <c r="N85" s="2"/>
      <c r="O85" s="12"/>
      <c r="P85" s="2"/>
      <c r="Q85" s="2"/>
      <c r="R85" s="2"/>
      <c r="T85" s="14"/>
      <c r="V85" s="15"/>
      <c r="W85" s="16"/>
      <c r="X85" s="14"/>
      <c r="AB85" s="4"/>
    </row>
    <row r="86" customFormat="false" ht="15.75" hidden="false" customHeight="false" outlineLevel="0" collapsed="false">
      <c r="A86" s="2"/>
      <c r="K86" s="2"/>
      <c r="L86" s="2"/>
      <c r="M86" s="2"/>
      <c r="N86" s="2"/>
      <c r="O86" s="12"/>
      <c r="P86" s="2"/>
      <c r="Q86" s="2"/>
      <c r="R86" s="2"/>
      <c r="T86" s="14"/>
      <c r="V86" s="15"/>
      <c r="W86" s="16"/>
      <c r="X86" s="14"/>
      <c r="AB86" s="4"/>
    </row>
    <row r="87" customFormat="false" ht="15.75" hidden="false" customHeight="false" outlineLevel="0" collapsed="false">
      <c r="A87" s="2"/>
      <c r="K87" s="2"/>
      <c r="L87" s="2"/>
      <c r="M87" s="2"/>
      <c r="N87" s="2"/>
      <c r="O87" s="12"/>
      <c r="P87" s="2"/>
      <c r="Q87" s="2"/>
      <c r="R87" s="2"/>
      <c r="T87" s="14"/>
      <c r="V87" s="15"/>
      <c r="W87" s="16"/>
      <c r="X87" s="14"/>
      <c r="AB87" s="4"/>
    </row>
    <row r="88" customFormat="false" ht="15.75" hidden="false" customHeight="false" outlineLevel="0" collapsed="false">
      <c r="A88" s="2"/>
      <c r="K88" s="2"/>
      <c r="L88" s="2"/>
      <c r="M88" s="2"/>
      <c r="N88" s="2"/>
      <c r="O88" s="12"/>
      <c r="P88" s="2"/>
      <c r="Q88" s="2"/>
      <c r="R88" s="2"/>
      <c r="T88" s="14"/>
      <c r="V88" s="15"/>
      <c r="W88" s="16"/>
      <c r="X88" s="14"/>
      <c r="AB88" s="4"/>
    </row>
    <row r="89" customFormat="false" ht="15.75" hidden="false" customHeight="false" outlineLevel="0" collapsed="false">
      <c r="A89" s="2"/>
      <c r="K89" s="2"/>
      <c r="L89" s="2"/>
      <c r="M89" s="2"/>
      <c r="N89" s="2"/>
      <c r="O89" s="12"/>
      <c r="P89" s="2"/>
      <c r="Q89" s="2"/>
      <c r="R89" s="2"/>
      <c r="T89" s="14"/>
      <c r="V89" s="15"/>
      <c r="W89" s="16"/>
      <c r="X89" s="14"/>
      <c r="AB89" s="4"/>
    </row>
    <row r="90" customFormat="false" ht="15.75" hidden="false" customHeight="false" outlineLevel="0" collapsed="false">
      <c r="A90" s="2"/>
      <c r="K90" s="2"/>
      <c r="L90" s="2"/>
      <c r="M90" s="2"/>
      <c r="N90" s="2"/>
      <c r="O90" s="12"/>
      <c r="P90" s="2"/>
      <c r="Q90" s="2"/>
      <c r="R90" s="2"/>
      <c r="T90" s="14"/>
      <c r="V90" s="15"/>
      <c r="W90" s="16"/>
      <c r="X90" s="14"/>
      <c r="AB90" s="4"/>
    </row>
    <row r="91" customFormat="false" ht="15.75" hidden="false" customHeight="false" outlineLevel="0" collapsed="false">
      <c r="A91" s="2"/>
      <c r="K91" s="2"/>
      <c r="L91" s="2"/>
      <c r="M91" s="2"/>
      <c r="N91" s="2"/>
      <c r="O91" s="12"/>
      <c r="P91" s="2"/>
      <c r="Q91" s="2"/>
      <c r="R91" s="2"/>
      <c r="T91" s="14"/>
      <c r="V91" s="15"/>
      <c r="W91" s="16"/>
      <c r="X91" s="14"/>
      <c r="AB91" s="4"/>
    </row>
    <row r="92" customFormat="false" ht="15.75" hidden="false" customHeight="false" outlineLevel="0" collapsed="false">
      <c r="A92" s="2"/>
      <c r="K92" s="2"/>
      <c r="L92" s="2"/>
      <c r="M92" s="2"/>
      <c r="N92" s="2"/>
      <c r="O92" s="12"/>
      <c r="P92" s="2"/>
      <c r="Q92" s="2"/>
      <c r="R92" s="2"/>
      <c r="T92" s="14"/>
      <c r="V92" s="15"/>
      <c r="W92" s="16"/>
      <c r="X92" s="14"/>
      <c r="AB92" s="4"/>
    </row>
    <row r="93" customFormat="false" ht="15.75" hidden="false" customHeight="false" outlineLevel="0" collapsed="false">
      <c r="A93" s="2"/>
      <c r="K93" s="2"/>
      <c r="L93" s="2"/>
      <c r="M93" s="2"/>
      <c r="N93" s="2"/>
      <c r="O93" s="12"/>
      <c r="P93" s="2"/>
      <c r="Q93" s="2"/>
      <c r="R93" s="2"/>
      <c r="T93" s="14"/>
      <c r="V93" s="15"/>
      <c r="W93" s="16"/>
      <c r="X93" s="14"/>
      <c r="AB93" s="4"/>
    </row>
    <row r="94" customFormat="false" ht="15.75" hidden="false" customHeight="false" outlineLevel="0" collapsed="false">
      <c r="A94" s="2"/>
      <c r="K94" s="2"/>
      <c r="L94" s="2"/>
      <c r="M94" s="2"/>
      <c r="N94" s="2"/>
      <c r="O94" s="12"/>
      <c r="P94" s="2"/>
      <c r="Q94" s="2"/>
      <c r="R94" s="2"/>
      <c r="T94" s="14"/>
      <c r="V94" s="15"/>
      <c r="W94" s="16"/>
      <c r="X94" s="14"/>
      <c r="AB94" s="4"/>
    </row>
    <row r="95" customFormat="false" ht="15.75" hidden="false" customHeight="false" outlineLevel="0" collapsed="false">
      <c r="A95" s="2"/>
      <c r="K95" s="2"/>
      <c r="L95" s="2"/>
      <c r="M95" s="2"/>
      <c r="N95" s="2"/>
      <c r="O95" s="12"/>
      <c r="P95" s="2"/>
      <c r="Q95" s="2"/>
      <c r="R95" s="2"/>
      <c r="T95" s="14"/>
      <c r="V95" s="15"/>
      <c r="W95" s="16"/>
      <c r="X95" s="14"/>
      <c r="AB95" s="4"/>
    </row>
    <row r="96" customFormat="false" ht="15.75" hidden="false" customHeight="false" outlineLevel="0" collapsed="false">
      <c r="A96" s="2"/>
      <c r="K96" s="2"/>
      <c r="L96" s="2"/>
      <c r="M96" s="2"/>
      <c r="N96" s="2"/>
      <c r="O96" s="12"/>
      <c r="P96" s="2"/>
      <c r="Q96" s="2"/>
      <c r="R96" s="2"/>
      <c r="T96" s="14"/>
      <c r="V96" s="15"/>
      <c r="W96" s="16"/>
      <c r="X96" s="14"/>
      <c r="AB96" s="4"/>
    </row>
    <row r="97" customFormat="false" ht="15.75" hidden="false" customHeight="false" outlineLevel="0" collapsed="false">
      <c r="A97" s="2"/>
      <c r="K97" s="2"/>
      <c r="L97" s="2"/>
      <c r="M97" s="2"/>
      <c r="N97" s="2"/>
      <c r="O97" s="12"/>
      <c r="P97" s="2"/>
      <c r="Q97" s="2"/>
      <c r="R97" s="2"/>
      <c r="T97" s="14"/>
      <c r="V97" s="15"/>
      <c r="W97" s="16"/>
      <c r="X97" s="14"/>
      <c r="AB97" s="4"/>
    </row>
    <row r="98" customFormat="false" ht="15.75" hidden="false" customHeight="false" outlineLevel="0" collapsed="false">
      <c r="A98" s="2"/>
      <c r="K98" s="2"/>
      <c r="L98" s="2"/>
      <c r="M98" s="2"/>
      <c r="N98" s="2"/>
      <c r="O98" s="12"/>
      <c r="P98" s="2"/>
      <c r="Q98" s="2"/>
      <c r="R98" s="2"/>
      <c r="T98" s="14"/>
      <c r="V98" s="15"/>
      <c r="W98" s="16"/>
      <c r="X98" s="14"/>
      <c r="AB98" s="4"/>
    </row>
    <row r="99" customFormat="false" ht="15.75" hidden="false" customHeight="false" outlineLevel="0" collapsed="false">
      <c r="A99" s="2"/>
      <c r="K99" s="2"/>
      <c r="L99" s="2"/>
      <c r="M99" s="2"/>
      <c r="N99" s="2"/>
      <c r="O99" s="12"/>
      <c r="P99" s="2"/>
      <c r="Q99" s="2"/>
      <c r="R99" s="2"/>
      <c r="T99" s="14"/>
      <c r="V99" s="15"/>
      <c r="W99" s="16"/>
      <c r="X99" s="14"/>
      <c r="AB99" s="4"/>
    </row>
    <row r="100" customFormat="false" ht="15.75" hidden="false" customHeight="false" outlineLevel="0" collapsed="false">
      <c r="A100" s="2"/>
      <c r="K100" s="2"/>
      <c r="L100" s="2"/>
      <c r="M100" s="2"/>
      <c r="N100" s="2"/>
      <c r="O100" s="12"/>
      <c r="P100" s="2"/>
      <c r="Q100" s="2"/>
      <c r="R100" s="2"/>
      <c r="T100" s="14"/>
      <c r="V100" s="15"/>
      <c r="W100" s="16"/>
      <c r="X100" s="14"/>
      <c r="AB100" s="4"/>
    </row>
    <row r="101" customFormat="false" ht="15.75" hidden="false" customHeight="false" outlineLevel="0" collapsed="false">
      <c r="A101" s="2"/>
      <c r="K101" s="2"/>
      <c r="L101" s="2"/>
      <c r="M101" s="2"/>
      <c r="N101" s="2"/>
      <c r="O101" s="12"/>
      <c r="P101" s="2"/>
      <c r="Q101" s="2"/>
      <c r="R101" s="2"/>
      <c r="T101" s="14"/>
      <c r="V101" s="15"/>
      <c r="W101" s="16"/>
      <c r="X101" s="14"/>
      <c r="AB101" s="4"/>
    </row>
    <row r="102" customFormat="false" ht="15.75" hidden="false" customHeight="false" outlineLevel="0" collapsed="false">
      <c r="A102" s="2"/>
      <c r="K102" s="2"/>
      <c r="L102" s="2"/>
      <c r="M102" s="2"/>
      <c r="N102" s="2"/>
      <c r="O102" s="12"/>
      <c r="P102" s="2"/>
      <c r="Q102" s="2"/>
      <c r="R102" s="2"/>
      <c r="T102" s="14"/>
      <c r="V102" s="15"/>
      <c r="W102" s="16"/>
      <c r="X102" s="14"/>
      <c r="AB102" s="4"/>
    </row>
    <row r="103" customFormat="false" ht="15.75" hidden="false" customHeight="false" outlineLevel="0" collapsed="false">
      <c r="A103" s="2"/>
      <c r="K103" s="2"/>
      <c r="L103" s="2"/>
      <c r="M103" s="2"/>
      <c r="N103" s="2"/>
      <c r="O103" s="12"/>
      <c r="P103" s="2"/>
      <c r="Q103" s="2"/>
      <c r="R103" s="2"/>
      <c r="T103" s="14"/>
      <c r="V103" s="15"/>
      <c r="W103" s="16"/>
      <c r="X103" s="14"/>
      <c r="AB103" s="4"/>
    </row>
    <row r="104" customFormat="false" ht="15.75" hidden="false" customHeight="false" outlineLevel="0" collapsed="false">
      <c r="A104" s="2"/>
      <c r="K104" s="2"/>
      <c r="L104" s="2"/>
      <c r="M104" s="2"/>
      <c r="N104" s="2"/>
      <c r="O104" s="12"/>
      <c r="P104" s="2"/>
      <c r="Q104" s="2"/>
      <c r="R104" s="2"/>
      <c r="T104" s="14"/>
      <c r="V104" s="15"/>
      <c r="W104" s="16"/>
      <c r="X104" s="14"/>
      <c r="AB104" s="4"/>
    </row>
    <row r="105" customFormat="false" ht="15.75" hidden="false" customHeight="false" outlineLevel="0" collapsed="false">
      <c r="A105" s="2"/>
      <c r="K105" s="2"/>
      <c r="L105" s="2"/>
      <c r="M105" s="2"/>
      <c r="N105" s="2"/>
      <c r="O105" s="12"/>
      <c r="P105" s="2"/>
      <c r="Q105" s="2"/>
      <c r="R105" s="2"/>
      <c r="T105" s="14"/>
      <c r="V105" s="15"/>
      <c r="W105" s="16"/>
      <c r="X105" s="14"/>
      <c r="AB105" s="4"/>
    </row>
    <row r="106" customFormat="false" ht="15.75" hidden="false" customHeight="false" outlineLevel="0" collapsed="false">
      <c r="A106" s="2"/>
      <c r="K106" s="2"/>
      <c r="L106" s="2"/>
      <c r="M106" s="2"/>
      <c r="N106" s="2"/>
      <c r="O106" s="12"/>
      <c r="P106" s="2"/>
      <c r="Q106" s="2"/>
      <c r="R106" s="2"/>
      <c r="T106" s="14"/>
      <c r="V106" s="15"/>
      <c r="W106" s="16"/>
      <c r="X106" s="14"/>
      <c r="AB106" s="4"/>
    </row>
    <row r="107" customFormat="false" ht="15.75" hidden="false" customHeight="false" outlineLevel="0" collapsed="false">
      <c r="A107" s="2"/>
      <c r="K107" s="2"/>
      <c r="L107" s="2"/>
      <c r="M107" s="2"/>
      <c r="N107" s="2"/>
      <c r="O107" s="12"/>
      <c r="P107" s="2"/>
      <c r="Q107" s="2"/>
      <c r="R107" s="2"/>
      <c r="T107" s="14"/>
      <c r="V107" s="15"/>
      <c r="W107" s="16"/>
      <c r="X107" s="14"/>
      <c r="AB107" s="4"/>
    </row>
    <row r="108" customFormat="false" ht="15.75" hidden="false" customHeight="false" outlineLevel="0" collapsed="false">
      <c r="A108" s="2"/>
      <c r="K108" s="2"/>
      <c r="L108" s="2"/>
      <c r="M108" s="2"/>
      <c r="N108" s="2"/>
      <c r="O108" s="12"/>
      <c r="P108" s="2"/>
      <c r="Q108" s="2"/>
      <c r="R108" s="2"/>
      <c r="T108" s="14"/>
      <c r="V108" s="15"/>
      <c r="W108" s="16"/>
      <c r="X108" s="14"/>
      <c r="AB108" s="4"/>
    </row>
    <row r="109" customFormat="false" ht="15.75" hidden="false" customHeight="false" outlineLevel="0" collapsed="false">
      <c r="A109" s="2"/>
      <c r="K109" s="2"/>
      <c r="L109" s="2"/>
      <c r="M109" s="2"/>
      <c r="N109" s="2"/>
      <c r="O109" s="12"/>
      <c r="P109" s="2"/>
      <c r="Q109" s="2"/>
      <c r="R109" s="2"/>
      <c r="T109" s="14"/>
      <c r="V109" s="15"/>
      <c r="W109" s="16"/>
      <c r="X109" s="14"/>
      <c r="AB109" s="4"/>
    </row>
    <row r="110" customFormat="false" ht="15.75" hidden="false" customHeight="false" outlineLevel="0" collapsed="false">
      <c r="A110" s="2"/>
      <c r="K110" s="2"/>
      <c r="L110" s="2"/>
      <c r="M110" s="2"/>
      <c r="N110" s="2"/>
      <c r="O110" s="12"/>
      <c r="P110" s="2"/>
      <c r="Q110" s="2"/>
      <c r="R110" s="2"/>
      <c r="T110" s="14"/>
      <c r="V110" s="15"/>
      <c r="W110" s="16"/>
      <c r="X110" s="14"/>
      <c r="AB110" s="4"/>
    </row>
    <row r="111" customFormat="false" ht="15.75" hidden="false" customHeight="false" outlineLevel="0" collapsed="false">
      <c r="A111" s="2"/>
      <c r="K111" s="2"/>
      <c r="L111" s="2"/>
      <c r="M111" s="2"/>
      <c r="N111" s="2"/>
      <c r="O111" s="12"/>
      <c r="P111" s="2"/>
      <c r="Q111" s="2"/>
      <c r="R111" s="2"/>
      <c r="T111" s="14"/>
      <c r="V111" s="15"/>
      <c r="W111" s="16"/>
      <c r="X111" s="14"/>
      <c r="AB111" s="4"/>
    </row>
    <row r="112" customFormat="false" ht="15.75" hidden="false" customHeight="false" outlineLevel="0" collapsed="false">
      <c r="A112" s="2"/>
      <c r="K112" s="2"/>
      <c r="L112" s="2"/>
      <c r="M112" s="2"/>
      <c r="N112" s="2"/>
      <c r="O112" s="12"/>
      <c r="P112" s="2"/>
      <c r="Q112" s="2"/>
      <c r="R112" s="2"/>
      <c r="T112" s="14"/>
      <c r="V112" s="15"/>
      <c r="W112" s="16"/>
      <c r="X112" s="14"/>
      <c r="AB112" s="4"/>
    </row>
    <row r="113" customFormat="false" ht="15.75" hidden="false" customHeight="false" outlineLevel="0" collapsed="false">
      <c r="A113" s="2"/>
      <c r="K113" s="2"/>
      <c r="L113" s="2"/>
      <c r="M113" s="2"/>
      <c r="N113" s="2"/>
      <c r="O113" s="12"/>
      <c r="P113" s="2"/>
      <c r="Q113" s="2"/>
      <c r="R113" s="2"/>
      <c r="T113" s="14"/>
      <c r="V113" s="15"/>
      <c r="W113" s="16"/>
      <c r="X113" s="14"/>
      <c r="AB113" s="4"/>
    </row>
    <row r="114" customFormat="false" ht="15.75" hidden="false" customHeight="false" outlineLevel="0" collapsed="false">
      <c r="A114" s="2"/>
      <c r="K114" s="2"/>
      <c r="L114" s="2"/>
      <c r="M114" s="2"/>
      <c r="N114" s="2"/>
      <c r="O114" s="12"/>
      <c r="P114" s="2"/>
      <c r="Q114" s="2"/>
      <c r="R114" s="2"/>
      <c r="T114" s="14"/>
      <c r="V114" s="15"/>
      <c r="W114" s="16"/>
      <c r="X114" s="14"/>
      <c r="AB114" s="4"/>
    </row>
    <row r="115" customFormat="false" ht="15.75" hidden="false" customHeight="false" outlineLevel="0" collapsed="false">
      <c r="A115" s="2"/>
      <c r="K115" s="2"/>
      <c r="L115" s="2"/>
      <c r="M115" s="2"/>
      <c r="N115" s="2"/>
      <c r="O115" s="12"/>
      <c r="P115" s="2"/>
      <c r="Q115" s="2"/>
      <c r="R115" s="2"/>
      <c r="T115" s="14"/>
      <c r="V115" s="15"/>
      <c r="W115" s="16"/>
      <c r="X115" s="14"/>
      <c r="AB115" s="4"/>
    </row>
    <row r="116" customFormat="false" ht="15.75" hidden="false" customHeight="false" outlineLevel="0" collapsed="false">
      <c r="A116" s="2"/>
      <c r="K116" s="2"/>
      <c r="L116" s="2"/>
      <c r="M116" s="2"/>
      <c r="N116" s="2"/>
      <c r="O116" s="12"/>
      <c r="P116" s="2"/>
      <c r="Q116" s="2"/>
      <c r="R116" s="2"/>
      <c r="T116" s="14"/>
      <c r="V116" s="15"/>
      <c r="W116" s="16"/>
      <c r="X116" s="14"/>
      <c r="AB116" s="4"/>
    </row>
    <row r="117" customFormat="false" ht="15.75" hidden="false" customHeight="false" outlineLevel="0" collapsed="false">
      <c r="A117" s="2"/>
      <c r="K117" s="2"/>
      <c r="L117" s="2"/>
      <c r="M117" s="2"/>
      <c r="N117" s="2"/>
      <c r="O117" s="12"/>
      <c r="P117" s="2"/>
      <c r="Q117" s="2"/>
      <c r="R117" s="2"/>
      <c r="T117" s="14"/>
      <c r="V117" s="15"/>
      <c r="W117" s="16"/>
      <c r="X117" s="14"/>
      <c r="AB117" s="4"/>
    </row>
    <row r="118" customFormat="false" ht="15.75" hidden="false" customHeight="false" outlineLevel="0" collapsed="false">
      <c r="A118" s="2"/>
      <c r="K118" s="2"/>
      <c r="L118" s="2"/>
      <c r="M118" s="2"/>
      <c r="N118" s="2"/>
      <c r="O118" s="12"/>
      <c r="P118" s="2"/>
      <c r="Q118" s="2"/>
      <c r="R118" s="2"/>
      <c r="T118" s="14"/>
      <c r="V118" s="15"/>
      <c r="W118" s="16"/>
      <c r="X118" s="14"/>
      <c r="AB118" s="4"/>
    </row>
    <row r="119" customFormat="false" ht="15.75" hidden="false" customHeight="false" outlineLevel="0" collapsed="false">
      <c r="A119" s="2"/>
      <c r="K119" s="2"/>
      <c r="L119" s="2"/>
      <c r="M119" s="2"/>
      <c r="N119" s="2"/>
      <c r="O119" s="12"/>
      <c r="P119" s="2"/>
      <c r="Q119" s="2"/>
      <c r="R119" s="2"/>
      <c r="T119" s="14"/>
      <c r="V119" s="15"/>
      <c r="W119" s="16"/>
      <c r="X119" s="14"/>
      <c r="AB119" s="4"/>
    </row>
    <row r="120" customFormat="false" ht="15.75" hidden="false" customHeight="false" outlineLevel="0" collapsed="false">
      <c r="A120" s="2"/>
      <c r="K120" s="2"/>
      <c r="L120" s="2"/>
      <c r="M120" s="2"/>
      <c r="N120" s="2"/>
      <c r="O120" s="12"/>
      <c r="P120" s="2"/>
      <c r="Q120" s="2"/>
      <c r="R120" s="2"/>
      <c r="T120" s="14"/>
      <c r="V120" s="15"/>
      <c r="W120" s="16"/>
      <c r="X120" s="14"/>
      <c r="AB120" s="4"/>
    </row>
    <row r="121" customFormat="false" ht="15.75" hidden="false" customHeight="false" outlineLevel="0" collapsed="false">
      <c r="A121" s="2"/>
      <c r="K121" s="2"/>
      <c r="L121" s="2"/>
      <c r="M121" s="2"/>
      <c r="N121" s="2"/>
      <c r="O121" s="12"/>
      <c r="P121" s="2"/>
      <c r="Q121" s="2"/>
      <c r="R121" s="2"/>
      <c r="T121" s="14"/>
      <c r="V121" s="15"/>
      <c r="W121" s="16"/>
      <c r="X121" s="14"/>
      <c r="AB121" s="4"/>
    </row>
    <row r="122" customFormat="false" ht="15.75" hidden="false" customHeight="false" outlineLevel="0" collapsed="false">
      <c r="A122" s="2"/>
      <c r="K122" s="2"/>
      <c r="L122" s="2"/>
      <c r="M122" s="2"/>
      <c r="N122" s="2"/>
      <c r="O122" s="12"/>
      <c r="P122" s="2"/>
      <c r="Q122" s="2"/>
      <c r="R122" s="2"/>
      <c r="T122" s="14"/>
      <c r="V122" s="15"/>
      <c r="W122" s="16"/>
      <c r="X122" s="14"/>
      <c r="AB122" s="4"/>
    </row>
    <row r="123" customFormat="false" ht="15.75" hidden="false" customHeight="false" outlineLevel="0" collapsed="false">
      <c r="A123" s="2"/>
      <c r="K123" s="2"/>
      <c r="L123" s="2"/>
      <c r="M123" s="2"/>
      <c r="N123" s="2"/>
      <c r="O123" s="12"/>
      <c r="P123" s="2"/>
      <c r="Q123" s="2"/>
      <c r="R123" s="2"/>
      <c r="T123" s="14"/>
      <c r="V123" s="15"/>
      <c r="W123" s="16"/>
      <c r="X123" s="14"/>
      <c r="AB123" s="4"/>
    </row>
    <row r="124" customFormat="false" ht="15.75" hidden="false" customHeight="false" outlineLevel="0" collapsed="false">
      <c r="A124" s="2"/>
      <c r="K124" s="2"/>
      <c r="L124" s="2"/>
      <c r="M124" s="2"/>
      <c r="N124" s="2"/>
      <c r="O124" s="12"/>
      <c r="P124" s="2"/>
      <c r="Q124" s="2"/>
      <c r="R124" s="2"/>
      <c r="T124" s="14"/>
      <c r="V124" s="15"/>
      <c r="W124" s="16"/>
      <c r="X124" s="14"/>
      <c r="AB124" s="4"/>
    </row>
    <row r="125" customFormat="false" ht="15.75" hidden="false" customHeight="false" outlineLevel="0" collapsed="false">
      <c r="A125" s="2"/>
      <c r="K125" s="2"/>
      <c r="L125" s="2"/>
      <c r="M125" s="2"/>
      <c r="N125" s="2"/>
      <c r="O125" s="12"/>
      <c r="P125" s="2"/>
      <c r="Q125" s="2"/>
      <c r="R125" s="2"/>
      <c r="T125" s="14"/>
      <c r="V125" s="15"/>
      <c r="W125" s="16"/>
      <c r="X125" s="14"/>
      <c r="AB125" s="4"/>
    </row>
    <row r="126" customFormat="false" ht="15.75" hidden="false" customHeight="false" outlineLevel="0" collapsed="false">
      <c r="A126" s="2"/>
      <c r="K126" s="2"/>
      <c r="L126" s="2"/>
      <c r="M126" s="2"/>
      <c r="N126" s="2"/>
      <c r="O126" s="12"/>
      <c r="P126" s="2"/>
      <c r="Q126" s="2"/>
      <c r="R126" s="2"/>
      <c r="T126" s="14"/>
      <c r="V126" s="15"/>
      <c r="W126" s="16"/>
      <c r="X126" s="14"/>
      <c r="AB126" s="4"/>
    </row>
    <row r="127" customFormat="false" ht="15.75" hidden="false" customHeight="false" outlineLevel="0" collapsed="false">
      <c r="A127" s="2"/>
      <c r="K127" s="2"/>
      <c r="L127" s="2"/>
      <c r="M127" s="2"/>
      <c r="N127" s="2"/>
      <c r="O127" s="12"/>
      <c r="P127" s="2"/>
      <c r="Q127" s="2"/>
      <c r="R127" s="2"/>
      <c r="T127" s="14"/>
      <c r="V127" s="15"/>
      <c r="W127" s="16"/>
      <c r="X127" s="14"/>
      <c r="AB127" s="4"/>
    </row>
    <row r="128" customFormat="false" ht="15.75" hidden="false" customHeight="false" outlineLevel="0" collapsed="false">
      <c r="A128" s="2"/>
      <c r="K128" s="2"/>
      <c r="L128" s="2"/>
      <c r="M128" s="2"/>
      <c r="N128" s="2"/>
      <c r="O128" s="12"/>
      <c r="P128" s="2"/>
      <c r="Q128" s="2"/>
      <c r="R128" s="2"/>
      <c r="T128" s="14"/>
      <c r="V128" s="15"/>
      <c r="W128" s="16"/>
      <c r="X128" s="14"/>
      <c r="AB128" s="4"/>
    </row>
    <row r="129" customFormat="false" ht="15.75" hidden="false" customHeight="false" outlineLevel="0" collapsed="false">
      <c r="A129" s="2"/>
      <c r="K129" s="2"/>
      <c r="L129" s="2"/>
      <c r="M129" s="2"/>
      <c r="N129" s="2"/>
      <c r="O129" s="12"/>
      <c r="P129" s="2"/>
      <c r="Q129" s="2"/>
      <c r="R129" s="2"/>
      <c r="T129" s="14"/>
      <c r="V129" s="15"/>
      <c r="W129" s="16"/>
      <c r="X129" s="14"/>
      <c r="AB129" s="4"/>
    </row>
    <row r="130" customFormat="false" ht="15.75" hidden="false" customHeight="false" outlineLevel="0" collapsed="false">
      <c r="A130" s="2"/>
      <c r="K130" s="2"/>
      <c r="L130" s="2"/>
      <c r="M130" s="2"/>
      <c r="N130" s="2"/>
      <c r="O130" s="12"/>
      <c r="P130" s="2"/>
      <c r="Q130" s="2"/>
      <c r="R130" s="2"/>
      <c r="T130" s="14"/>
      <c r="V130" s="15"/>
      <c r="W130" s="16"/>
      <c r="X130" s="14"/>
      <c r="AB130" s="4"/>
    </row>
    <row r="131" customFormat="false" ht="15.75" hidden="false" customHeight="false" outlineLevel="0" collapsed="false">
      <c r="A131" s="2"/>
      <c r="K131" s="2"/>
      <c r="L131" s="2"/>
      <c r="M131" s="2"/>
      <c r="N131" s="2"/>
      <c r="O131" s="12"/>
      <c r="P131" s="2"/>
      <c r="Q131" s="2"/>
      <c r="R131" s="2"/>
      <c r="T131" s="14"/>
      <c r="V131" s="15"/>
      <c r="W131" s="16"/>
      <c r="X131" s="14"/>
      <c r="AB131" s="4"/>
    </row>
    <row r="132" customFormat="false" ht="15.75" hidden="false" customHeight="false" outlineLevel="0" collapsed="false">
      <c r="A132" s="2"/>
      <c r="K132" s="2"/>
      <c r="L132" s="2"/>
      <c r="M132" s="2"/>
      <c r="N132" s="2"/>
      <c r="O132" s="12"/>
      <c r="P132" s="2"/>
      <c r="Q132" s="2"/>
      <c r="R132" s="2"/>
      <c r="T132" s="14"/>
      <c r="V132" s="15"/>
      <c r="W132" s="16"/>
      <c r="X132" s="14"/>
      <c r="AB132" s="4"/>
    </row>
    <row r="133" customFormat="false" ht="15.75" hidden="false" customHeight="false" outlineLevel="0" collapsed="false">
      <c r="A133" s="2"/>
      <c r="K133" s="2"/>
      <c r="L133" s="2"/>
      <c r="M133" s="2"/>
      <c r="N133" s="2"/>
      <c r="O133" s="12"/>
      <c r="P133" s="2"/>
      <c r="Q133" s="2"/>
      <c r="R133" s="2"/>
      <c r="T133" s="14"/>
      <c r="V133" s="15"/>
      <c r="W133" s="16"/>
      <c r="X133" s="14"/>
      <c r="AB133" s="4"/>
    </row>
    <row r="134" customFormat="false" ht="15.75" hidden="false" customHeight="false" outlineLevel="0" collapsed="false">
      <c r="A134" s="2"/>
      <c r="K134" s="2"/>
      <c r="L134" s="2"/>
      <c r="M134" s="2"/>
      <c r="N134" s="2"/>
      <c r="O134" s="12"/>
      <c r="P134" s="2"/>
      <c r="Q134" s="2"/>
      <c r="R134" s="2"/>
      <c r="T134" s="14"/>
      <c r="V134" s="15"/>
      <c r="W134" s="16"/>
      <c r="X134" s="14"/>
      <c r="AB134" s="4"/>
    </row>
    <row r="135" customFormat="false" ht="15.75" hidden="false" customHeight="false" outlineLevel="0" collapsed="false">
      <c r="A135" s="2"/>
      <c r="K135" s="2"/>
      <c r="L135" s="2"/>
      <c r="M135" s="2"/>
      <c r="N135" s="2"/>
      <c r="O135" s="12"/>
      <c r="P135" s="2"/>
      <c r="Q135" s="2"/>
      <c r="R135" s="2"/>
      <c r="T135" s="14"/>
      <c r="V135" s="15"/>
      <c r="W135" s="16"/>
      <c r="X135" s="14"/>
      <c r="AB135" s="4"/>
    </row>
    <row r="136" customFormat="false" ht="15.75" hidden="false" customHeight="false" outlineLevel="0" collapsed="false">
      <c r="A136" s="2"/>
      <c r="K136" s="2"/>
      <c r="L136" s="2"/>
      <c r="M136" s="2"/>
      <c r="N136" s="2"/>
      <c r="O136" s="12"/>
      <c r="P136" s="2"/>
      <c r="Q136" s="2"/>
      <c r="R136" s="2"/>
      <c r="T136" s="14"/>
      <c r="V136" s="15"/>
      <c r="W136" s="16"/>
      <c r="X136" s="14"/>
      <c r="AB136" s="4"/>
    </row>
    <row r="137" customFormat="false" ht="15.75" hidden="false" customHeight="false" outlineLevel="0" collapsed="false">
      <c r="A137" s="2"/>
      <c r="K137" s="2"/>
      <c r="L137" s="2"/>
      <c r="M137" s="2"/>
      <c r="N137" s="2"/>
      <c r="O137" s="12"/>
      <c r="P137" s="2"/>
      <c r="Q137" s="2"/>
      <c r="R137" s="2"/>
      <c r="T137" s="14"/>
      <c r="V137" s="15"/>
      <c r="W137" s="16"/>
      <c r="X137" s="14"/>
      <c r="AB137" s="4"/>
    </row>
    <row r="138" customFormat="false" ht="15.75" hidden="false" customHeight="false" outlineLevel="0" collapsed="false">
      <c r="A138" s="2"/>
      <c r="K138" s="2"/>
      <c r="L138" s="2"/>
      <c r="M138" s="2"/>
      <c r="N138" s="2"/>
      <c r="O138" s="12"/>
      <c r="P138" s="2"/>
      <c r="Q138" s="2"/>
      <c r="R138" s="2"/>
      <c r="T138" s="14"/>
      <c r="V138" s="15"/>
      <c r="W138" s="16"/>
      <c r="X138" s="14"/>
      <c r="AB138" s="4"/>
    </row>
    <row r="139" customFormat="false" ht="15.75" hidden="false" customHeight="false" outlineLevel="0" collapsed="false">
      <c r="A139" s="2"/>
      <c r="K139" s="2"/>
      <c r="L139" s="2"/>
      <c r="M139" s="2"/>
      <c r="N139" s="2"/>
      <c r="O139" s="12"/>
      <c r="P139" s="2"/>
      <c r="Q139" s="2"/>
      <c r="R139" s="2"/>
      <c r="T139" s="14"/>
      <c r="V139" s="15"/>
      <c r="W139" s="16"/>
      <c r="X139" s="14"/>
      <c r="AB139" s="4"/>
    </row>
    <row r="140" customFormat="false" ht="15.75" hidden="false" customHeight="false" outlineLevel="0" collapsed="false">
      <c r="A140" s="2"/>
      <c r="K140" s="2"/>
      <c r="L140" s="2"/>
      <c r="M140" s="2"/>
      <c r="N140" s="2"/>
      <c r="O140" s="12"/>
      <c r="P140" s="2"/>
      <c r="Q140" s="2"/>
      <c r="R140" s="2"/>
      <c r="T140" s="14"/>
      <c r="V140" s="15"/>
      <c r="W140" s="16"/>
      <c r="X140" s="14"/>
      <c r="AB140" s="4"/>
    </row>
    <row r="141" customFormat="false" ht="15.75" hidden="false" customHeight="false" outlineLevel="0" collapsed="false">
      <c r="A141" s="2"/>
      <c r="K141" s="2"/>
      <c r="L141" s="2"/>
      <c r="M141" s="2"/>
      <c r="N141" s="2"/>
      <c r="O141" s="12"/>
      <c r="P141" s="2"/>
      <c r="Q141" s="2"/>
      <c r="R141" s="2"/>
      <c r="T141" s="14"/>
      <c r="V141" s="15"/>
      <c r="W141" s="16"/>
      <c r="X141" s="14"/>
      <c r="AB141" s="4"/>
    </row>
    <row r="142" customFormat="false" ht="15.75" hidden="false" customHeight="false" outlineLevel="0" collapsed="false">
      <c r="A142" s="2"/>
      <c r="K142" s="2"/>
      <c r="L142" s="2"/>
      <c r="M142" s="2"/>
      <c r="N142" s="2"/>
      <c r="O142" s="12"/>
      <c r="P142" s="2"/>
      <c r="Q142" s="2"/>
      <c r="R142" s="2"/>
      <c r="T142" s="14"/>
      <c r="V142" s="15"/>
      <c r="W142" s="16"/>
      <c r="X142" s="14"/>
      <c r="AB142" s="4"/>
    </row>
    <row r="143" customFormat="false" ht="15.75" hidden="false" customHeight="false" outlineLevel="0" collapsed="false">
      <c r="A143" s="2"/>
      <c r="K143" s="2"/>
      <c r="L143" s="2"/>
      <c r="M143" s="2"/>
      <c r="N143" s="2"/>
      <c r="O143" s="12"/>
      <c r="P143" s="2"/>
      <c r="Q143" s="2"/>
      <c r="R143" s="2"/>
      <c r="T143" s="14"/>
      <c r="V143" s="15"/>
      <c r="W143" s="16"/>
      <c r="X143" s="14"/>
      <c r="AB143" s="4"/>
    </row>
    <row r="144" customFormat="false" ht="15.75" hidden="false" customHeight="false" outlineLevel="0" collapsed="false">
      <c r="A144" s="2"/>
      <c r="K144" s="2"/>
      <c r="L144" s="2"/>
      <c r="M144" s="2"/>
      <c r="N144" s="2"/>
      <c r="O144" s="12"/>
      <c r="P144" s="2"/>
      <c r="Q144" s="2"/>
      <c r="R144" s="2"/>
      <c r="T144" s="14"/>
      <c r="V144" s="15"/>
      <c r="W144" s="16"/>
      <c r="X144" s="14"/>
      <c r="AB144" s="4"/>
    </row>
    <row r="145" customFormat="false" ht="15.75" hidden="false" customHeight="false" outlineLevel="0" collapsed="false">
      <c r="A145" s="2"/>
      <c r="K145" s="2"/>
      <c r="L145" s="2"/>
      <c r="M145" s="2"/>
      <c r="N145" s="2"/>
      <c r="O145" s="12"/>
      <c r="P145" s="2"/>
      <c r="Q145" s="2"/>
      <c r="R145" s="2"/>
      <c r="T145" s="14"/>
      <c r="V145" s="15"/>
      <c r="W145" s="16"/>
      <c r="X145" s="14"/>
      <c r="AB145" s="4"/>
    </row>
    <row r="146" customFormat="false" ht="15.75" hidden="false" customHeight="false" outlineLevel="0" collapsed="false">
      <c r="A146" s="2"/>
      <c r="K146" s="2"/>
      <c r="L146" s="2"/>
      <c r="M146" s="2"/>
      <c r="N146" s="2"/>
      <c r="O146" s="12"/>
      <c r="P146" s="2"/>
      <c r="Q146" s="2"/>
      <c r="R146" s="2"/>
      <c r="T146" s="14"/>
      <c r="V146" s="15"/>
      <c r="W146" s="16"/>
      <c r="X146" s="14"/>
      <c r="AB146" s="4"/>
    </row>
    <row r="147" customFormat="false" ht="15.75" hidden="false" customHeight="false" outlineLevel="0" collapsed="false">
      <c r="A147" s="2"/>
      <c r="K147" s="2"/>
      <c r="L147" s="2"/>
      <c r="M147" s="2"/>
      <c r="N147" s="2"/>
      <c r="O147" s="12"/>
      <c r="P147" s="2"/>
      <c r="Q147" s="2"/>
      <c r="R147" s="2"/>
      <c r="T147" s="14"/>
      <c r="V147" s="15"/>
      <c r="W147" s="16"/>
      <c r="X147" s="14"/>
      <c r="AB147" s="4"/>
    </row>
    <row r="148" customFormat="false" ht="15.75" hidden="false" customHeight="false" outlineLevel="0" collapsed="false">
      <c r="A148" s="2"/>
      <c r="K148" s="2"/>
      <c r="L148" s="2"/>
      <c r="M148" s="2"/>
      <c r="N148" s="2"/>
      <c r="O148" s="12"/>
      <c r="P148" s="2"/>
      <c r="Q148" s="2"/>
      <c r="R148" s="2"/>
      <c r="T148" s="14"/>
      <c r="V148" s="15"/>
      <c r="W148" s="16"/>
      <c r="X148" s="14"/>
      <c r="AB148" s="4"/>
    </row>
    <row r="149" customFormat="false" ht="15.75" hidden="false" customHeight="false" outlineLevel="0" collapsed="false">
      <c r="A149" s="2"/>
      <c r="K149" s="2"/>
      <c r="L149" s="2"/>
      <c r="M149" s="2"/>
      <c r="N149" s="2"/>
      <c r="O149" s="12"/>
      <c r="P149" s="2"/>
      <c r="Q149" s="2"/>
      <c r="R149" s="2"/>
      <c r="T149" s="14"/>
      <c r="V149" s="15"/>
      <c r="W149" s="16"/>
      <c r="X149" s="14"/>
      <c r="AB149" s="4"/>
    </row>
    <row r="150" customFormat="false" ht="15.75" hidden="false" customHeight="false" outlineLevel="0" collapsed="false">
      <c r="A150" s="2"/>
      <c r="K150" s="2"/>
      <c r="L150" s="2"/>
      <c r="M150" s="2"/>
      <c r="N150" s="2"/>
      <c r="O150" s="12"/>
      <c r="P150" s="2"/>
      <c r="Q150" s="2"/>
      <c r="R150" s="2"/>
      <c r="T150" s="14"/>
      <c r="V150" s="15"/>
      <c r="W150" s="16"/>
      <c r="X150" s="14"/>
      <c r="AB150" s="4"/>
    </row>
    <row r="151" customFormat="false" ht="15.75" hidden="false" customHeight="false" outlineLevel="0" collapsed="false">
      <c r="A151" s="2"/>
      <c r="K151" s="2"/>
      <c r="L151" s="2"/>
      <c r="M151" s="2"/>
      <c r="N151" s="2"/>
      <c r="O151" s="12"/>
      <c r="P151" s="2"/>
      <c r="Q151" s="2"/>
      <c r="R151" s="2"/>
      <c r="T151" s="14"/>
      <c r="V151" s="15"/>
      <c r="W151" s="16"/>
      <c r="X151" s="14"/>
      <c r="AB151" s="4"/>
    </row>
    <row r="152" customFormat="false" ht="15.75" hidden="false" customHeight="false" outlineLevel="0" collapsed="false">
      <c r="A152" s="2"/>
      <c r="K152" s="2"/>
      <c r="L152" s="2"/>
      <c r="M152" s="2"/>
      <c r="N152" s="2"/>
      <c r="O152" s="12"/>
      <c r="P152" s="2"/>
      <c r="Q152" s="2"/>
      <c r="R152" s="2"/>
      <c r="T152" s="14"/>
      <c r="V152" s="15"/>
      <c r="W152" s="16"/>
      <c r="X152" s="14"/>
      <c r="AB152" s="4"/>
    </row>
    <row r="153" customFormat="false" ht="15.75" hidden="false" customHeight="false" outlineLevel="0" collapsed="false">
      <c r="A153" s="2"/>
      <c r="K153" s="2"/>
      <c r="L153" s="2"/>
      <c r="M153" s="2"/>
      <c r="N153" s="2"/>
      <c r="O153" s="12"/>
      <c r="P153" s="2"/>
      <c r="Q153" s="2"/>
      <c r="R153" s="2"/>
      <c r="T153" s="14"/>
      <c r="V153" s="15"/>
      <c r="W153" s="16"/>
      <c r="X153" s="14"/>
      <c r="AB153" s="4"/>
    </row>
    <row r="154" customFormat="false" ht="15.75" hidden="false" customHeight="false" outlineLevel="0" collapsed="false">
      <c r="A154" s="2"/>
      <c r="K154" s="2"/>
      <c r="L154" s="2"/>
      <c r="M154" s="2"/>
      <c r="N154" s="2"/>
      <c r="O154" s="12"/>
      <c r="P154" s="2"/>
      <c r="Q154" s="2"/>
      <c r="R154" s="2"/>
      <c r="T154" s="14"/>
      <c r="V154" s="15"/>
      <c r="W154" s="16"/>
      <c r="X154" s="14"/>
      <c r="AB154" s="4"/>
    </row>
    <row r="155" customFormat="false" ht="15.75" hidden="false" customHeight="false" outlineLevel="0" collapsed="false">
      <c r="A155" s="2"/>
      <c r="K155" s="2"/>
      <c r="L155" s="2"/>
      <c r="M155" s="2"/>
      <c r="N155" s="2"/>
      <c r="O155" s="12"/>
      <c r="P155" s="2"/>
      <c r="Q155" s="2"/>
      <c r="R155" s="2"/>
      <c r="T155" s="14"/>
      <c r="V155" s="15"/>
      <c r="W155" s="16"/>
      <c r="X155" s="14"/>
      <c r="AB155" s="4"/>
    </row>
    <row r="156" customFormat="false" ht="15.75" hidden="false" customHeight="false" outlineLevel="0" collapsed="false">
      <c r="A156" s="2"/>
      <c r="K156" s="2"/>
      <c r="L156" s="2"/>
      <c r="M156" s="2"/>
      <c r="N156" s="2"/>
      <c r="O156" s="12"/>
      <c r="P156" s="2"/>
      <c r="Q156" s="2"/>
      <c r="R156" s="2"/>
      <c r="T156" s="14"/>
      <c r="V156" s="15"/>
      <c r="W156" s="16"/>
      <c r="X156" s="14"/>
      <c r="AB156" s="4"/>
    </row>
    <row r="157" customFormat="false" ht="15.75" hidden="false" customHeight="false" outlineLevel="0" collapsed="false">
      <c r="A157" s="2"/>
      <c r="K157" s="2"/>
      <c r="L157" s="2"/>
      <c r="M157" s="2"/>
      <c r="N157" s="2"/>
      <c r="O157" s="12"/>
      <c r="P157" s="2"/>
      <c r="Q157" s="2"/>
      <c r="R157" s="2"/>
      <c r="T157" s="14"/>
      <c r="V157" s="15"/>
      <c r="W157" s="16"/>
      <c r="X157" s="14"/>
      <c r="AB157" s="4"/>
    </row>
    <row r="158" customFormat="false" ht="15.75" hidden="false" customHeight="false" outlineLevel="0" collapsed="false">
      <c r="A158" s="2"/>
      <c r="K158" s="2"/>
      <c r="L158" s="2"/>
      <c r="M158" s="2"/>
      <c r="N158" s="2"/>
      <c r="O158" s="12"/>
      <c r="P158" s="2"/>
      <c r="Q158" s="2"/>
      <c r="R158" s="2"/>
      <c r="T158" s="14"/>
      <c r="V158" s="15"/>
      <c r="W158" s="16"/>
      <c r="X158" s="14"/>
      <c r="AB158" s="4"/>
    </row>
    <row r="159" customFormat="false" ht="15.75" hidden="false" customHeight="false" outlineLevel="0" collapsed="false">
      <c r="A159" s="2"/>
      <c r="K159" s="2"/>
      <c r="L159" s="2"/>
      <c r="M159" s="2"/>
      <c r="N159" s="2"/>
      <c r="O159" s="12"/>
      <c r="P159" s="2"/>
      <c r="Q159" s="2"/>
      <c r="R159" s="2"/>
      <c r="T159" s="14"/>
      <c r="V159" s="15"/>
      <c r="W159" s="16"/>
      <c r="X159" s="14"/>
      <c r="AB159" s="4"/>
    </row>
    <row r="160" customFormat="false" ht="15.75" hidden="false" customHeight="false" outlineLevel="0" collapsed="false">
      <c r="A160" s="2"/>
      <c r="K160" s="2"/>
      <c r="L160" s="2"/>
      <c r="M160" s="2"/>
      <c r="N160" s="2"/>
      <c r="O160" s="12"/>
      <c r="P160" s="2"/>
      <c r="Q160" s="2"/>
      <c r="R160" s="2"/>
      <c r="T160" s="14"/>
      <c r="V160" s="15"/>
      <c r="W160" s="16"/>
      <c r="X160" s="14"/>
      <c r="AB160" s="4"/>
    </row>
    <row r="161" customFormat="false" ht="15.75" hidden="false" customHeight="false" outlineLevel="0" collapsed="false">
      <c r="A161" s="2"/>
      <c r="K161" s="2"/>
      <c r="L161" s="2"/>
      <c r="M161" s="2"/>
      <c r="N161" s="2"/>
      <c r="O161" s="12"/>
      <c r="P161" s="2"/>
      <c r="Q161" s="2"/>
      <c r="R161" s="2"/>
      <c r="T161" s="14"/>
      <c r="V161" s="15"/>
      <c r="W161" s="16"/>
      <c r="X161" s="14"/>
      <c r="AB161" s="4"/>
    </row>
    <row r="162" customFormat="false" ht="15.75" hidden="false" customHeight="false" outlineLevel="0" collapsed="false">
      <c r="A162" s="2"/>
      <c r="K162" s="2"/>
      <c r="L162" s="2"/>
      <c r="M162" s="2"/>
      <c r="N162" s="2"/>
      <c r="O162" s="12"/>
      <c r="P162" s="2"/>
      <c r="Q162" s="2"/>
      <c r="R162" s="2"/>
      <c r="T162" s="14"/>
      <c r="V162" s="15"/>
      <c r="W162" s="16"/>
      <c r="X162" s="14"/>
      <c r="AB162" s="4"/>
    </row>
    <row r="163" customFormat="false" ht="15.75" hidden="false" customHeight="false" outlineLevel="0" collapsed="false">
      <c r="A163" s="2"/>
      <c r="K163" s="2"/>
      <c r="L163" s="2"/>
      <c r="M163" s="2"/>
      <c r="N163" s="2"/>
      <c r="O163" s="12"/>
      <c r="P163" s="2"/>
      <c r="Q163" s="2"/>
      <c r="R163" s="2"/>
      <c r="T163" s="14"/>
      <c r="V163" s="15"/>
      <c r="W163" s="16"/>
      <c r="X163" s="14"/>
      <c r="AB163" s="4"/>
    </row>
    <row r="164" customFormat="false" ht="15.75" hidden="false" customHeight="false" outlineLevel="0" collapsed="false">
      <c r="A164" s="2"/>
      <c r="K164" s="2"/>
      <c r="L164" s="2"/>
      <c r="M164" s="2"/>
      <c r="N164" s="2"/>
      <c r="O164" s="12"/>
      <c r="P164" s="2"/>
      <c r="Q164" s="2"/>
      <c r="R164" s="2"/>
      <c r="T164" s="14"/>
      <c r="V164" s="15"/>
      <c r="W164" s="16"/>
      <c r="X164" s="14"/>
      <c r="AB164" s="4"/>
    </row>
    <row r="165" customFormat="false" ht="15.75" hidden="false" customHeight="false" outlineLevel="0" collapsed="false">
      <c r="A165" s="2"/>
      <c r="K165" s="2"/>
      <c r="L165" s="2"/>
      <c r="M165" s="2"/>
      <c r="N165" s="2"/>
      <c r="O165" s="12"/>
      <c r="P165" s="2"/>
      <c r="Q165" s="2"/>
      <c r="R165" s="2"/>
      <c r="T165" s="14"/>
      <c r="V165" s="15"/>
      <c r="W165" s="16"/>
      <c r="X165" s="14"/>
      <c r="AB165" s="4"/>
    </row>
    <row r="166" customFormat="false" ht="15.75" hidden="false" customHeight="false" outlineLevel="0" collapsed="false">
      <c r="A166" s="2"/>
      <c r="K166" s="2"/>
      <c r="L166" s="2"/>
      <c r="M166" s="2"/>
      <c r="N166" s="2"/>
      <c r="O166" s="12"/>
      <c r="P166" s="2"/>
      <c r="Q166" s="2"/>
      <c r="R166" s="2"/>
      <c r="T166" s="14"/>
      <c r="V166" s="15"/>
      <c r="W166" s="16"/>
      <c r="X166" s="14"/>
      <c r="AB166" s="4"/>
    </row>
    <row r="167" customFormat="false" ht="15.75" hidden="false" customHeight="false" outlineLevel="0" collapsed="false">
      <c r="A167" s="2"/>
      <c r="K167" s="2"/>
      <c r="L167" s="2"/>
      <c r="M167" s="2"/>
      <c r="N167" s="2"/>
      <c r="O167" s="12"/>
      <c r="P167" s="2"/>
      <c r="Q167" s="2"/>
      <c r="R167" s="2"/>
      <c r="T167" s="14"/>
      <c r="V167" s="15"/>
      <c r="W167" s="16"/>
      <c r="X167" s="14"/>
      <c r="AB167" s="4"/>
    </row>
    <row r="168" customFormat="false" ht="15.75" hidden="false" customHeight="false" outlineLevel="0" collapsed="false">
      <c r="A168" s="2"/>
      <c r="K168" s="2"/>
      <c r="L168" s="2"/>
      <c r="M168" s="2"/>
      <c r="N168" s="2"/>
      <c r="O168" s="12"/>
      <c r="P168" s="2"/>
      <c r="Q168" s="2"/>
      <c r="R168" s="2"/>
      <c r="T168" s="14"/>
      <c r="V168" s="15"/>
      <c r="W168" s="16"/>
      <c r="X168" s="14"/>
      <c r="AB168" s="4"/>
    </row>
    <row r="169" customFormat="false" ht="15.75" hidden="false" customHeight="false" outlineLevel="0" collapsed="false">
      <c r="A169" s="2"/>
      <c r="K169" s="2"/>
      <c r="L169" s="2"/>
      <c r="M169" s="2"/>
      <c r="N169" s="2"/>
      <c r="O169" s="12"/>
      <c r="P169" s="2"/>
      <c r="Q169" s="2"/>
      <c r="R169" s="2"/>
      <c r="T169" s="14"/>
      <c r="V169" s="15"/>
      <c r="W169" s="16"/>
      <c r="X169" s="14"/>
      <c r="AB169" s="4"/>
    </row>
    <row r="170" customFormat="false" ht="15.75" hidden="false" customHeight="false" outlineLevel="0" collapsed="false">
      <c r="A170" s="2"/>
      <c r="K170" s="2"/>
      <c r="L170" s="2"/>
      <c r="M170" s="2"/>
      <c r="N170" s="2"/>
      <c r="O170" s="12"/>
      <c r="P170" s="2"/>
      <c r="Q170" s="2"/>
      <c r="R170" s="2"/>
      <c r="T170" s="14"/>
      <c r="V170" s="15"/>
      <c r="W170" s="16"/>
      <c r="X170" s="14"/>
      <c r="AB170" s="4"/>
    </row>
    <row r="171" customFormat="false" ht="15.75" hidden="false" customHeight="false" outlineLevel="0" collapsed="false">
      <c r="A171" s="2"/>
      <c r="K171" s="2"/>
      <c r="L171" s="2"/>
      <c r="M171" s="2"/>
      <c r="N171" s="2"/>
      <c r="O171" s="12"/>
      <c r="P171" s="2"/>
      <c r="Q171" s="2"/>
      <c r="R171" s="2"/>
      <c r="T171" s="14"/>
      <c r="V171" s="15"/>
      <c r="W171" s="16"/>
      <c r="X171" s="14"/>
      <c r="AB171" s="4"/>
    </row>
    <row r="172" customFormat="false" ht="15.75" hidden="false" customHeight="false" outlineLevel="0" collapsed="false">
      <c r="A172" s="2"/>
      <c r="K172" s="2"/>
      <c r="L172" s="2"/>
      <c r="M172" s="2"/>
      <c r="N172" s="2"/>
      <c r="O172" s="12"/>
      <c r="P172" s="2"/>
      <c r="Q172" s="2"/>
      <c r="R172" s="2"/>
      <c r="T172" s="14"/>
      <c r="V172" s="15"/>
      <c r="W172" s="16"/>
      <c r="X172" s="14"/>
      <c r="AB172" s="4"/>
    </row>
    <row r="173" customFormat="false" ht="15.75" hidden="false" customHeight="false" outlineLevel="0" collapsed="false">
      <c r="A173" s="2"/>
      <c r="K173" s="2"/>
      <c r="L173" s="2"/>
      <c r="M173" s="2"/>
      <c r="N173" s="2"/>
      <c r="O173" s="12"/>
      <c r="P173" s="2"/>
      <c r="Q173" s="2"/>
      <c r="R173" s="2"/>
      <c r="T173" s="14"/>
      <c r="V173" s="15"/>
      <c r="W173" s="16"/>
      <c r="X173" s="14"/>
      <c r="AB173" s="4"/>
    </row>
    <row r="174" customFormat="false" ht="15.75" hidden="false" customHeight="false" outlineLevel="0" collapsed="false">
      <c r="A174" s="2"/>
      <c r="K174" s="2"/>
      <c r="L174" s="2"/>
      <c r="M174" s="2"/>
      <c r="N174" s="2"/>
      <c r="O174" s="12"/>
      <c r="P174" s="2"/>
      <c r="Q174" s="2"/>
      <c r="R174" s="2"/>
      <c r="T174" s="14"/>
      <c r="V174" s="15"/>
      <c r="W174" s="16"/>
      <c r="X174" s="14"/>
      <c r="AB174" s="4"/>
    </row>
    <row r="175" customFormat="false" ht="15.75" hidden="false" customHeight="false" outlineLevel="0" collapsed="false">
      <c r="A175" s="2"/>
      <c r="K175" s="2"/>
      <c r="L175" s="2"/>
      <c r="M175" s="2"/>
      <c r="N175" s="2"/>
      <c r="O175" s="12"/>
      <c r="P175" s="2"/>
      <c r="Q175" s="2"/>
      <c r="R175" s="2"/>
      <c r="T175" s="14"/>
      <c r="V175" s="15"/>
      <c r="W175" s="16"/>
      <c r="X175" s="14"/>
      <c r="AB175" s="4"/>
    </row>
    <row r="176" customFormat="false" ht="15.75" hidden="false" customHeight="false" outlineLevel="0" collapsed="false">
      <c r="A176" s="2"/>
      <c r="K176" s="2"/>
      <c r="L176" s="2"/>
      <c r="M176" s="2"/>
      <c r="N176" s="2"/>
      <c r="O176" s="12"/>
      <c r="P176" s="2"/>
      <c r="Q176" s="2"/>
      <c r="R176" s="2"/>
      <c r="T176" s="14"/>
      <c r="V176" s="15"/>
      <c r="W176" s="16"/>
      <c r="X176" s="14"/>
      <c r="AB176" s="4"/>
    </row>
    <row r="177" customFormat="false" ht="15.75" hidden="false" customHeight="false" outlineLevel="0" collapsed="false">
      <c r="A177" s="2"/>
      <c r="K177" s="2"/>
      <c r="L177" s="2"/>
      <c r="M177" s="2"/>
      <c r="N177" s="2"/>
      <c r="O177" s="12"/>
      <c r="P177" s="2"/>
      <c r="Q177" s="2"/>
      <c r="R177" s="2"/>
      <c r="T177" s="14"/>
      <c r="V177" s="15"/>
      <c r="W177" s="16"/>
      <c r="X177" s="14"/>
      <c r="AB177" s="4"/>
    </row>
    <row r="178" customFormat="false" ht="15.75" hidden="false" customHeight="false" outlineLevel="0" collapsed="false">
      <c r="A178" s="2"/>
      <c r="K178" s="2"/>
      <c r="L178" s="2"/>
      <c r="M178" s="2"/>
      <c r="N178" s="2"/>
      <c r="O178" s="12"/>
      <c r="P178" s="2"/>
      <c r="Q178" s="2"/>
      <c r="R178" s="2"/>
      <c r="T178" s="14"/>
      <c r="V178" s="15"/>
      <c r="W178" s="16"/>
      <c r="X178" s="14"/>
      <c r="AB178" s="4"/>
    </row>
    <row r="179" customFormat="false" ht="15.75" hidden="false" customHeight="false" outlineLevel="0" collapsed="false">
      <c r="A179" s="2"/>
      <c r="K179" s="2"/>
      <c r="L179" s="2"/>
      <c r="M179" s="2"/>
      <c r="N179" s="2"/>
      <c r="O179" s="12"/>
      <c r="P179" s="2"/>
      <c r="Q179" s="2"/>
      <c r="R179" s="2"/>
      <c r="T179" s="14"/>
      <c r="V179" s="15"/>
      <c r="W179" s="16"/>
      <c r="X179" s="14"/>
      <c r="AB179" s="4"/>
    </row>
    <row r="180" customFormat="false" ht="15.75" hidden="false" customHeight="false" outlineLevel="0" collapsed="false">
      <c r="A180" s="2"/>
      <c r="K180" s="2"/>
      <c r="L180" s="2"/>
      <c r="M180" s="2"/>
      <c r="N180" s="2"/>
      <c r="O180" s="12"/>
      <c r="P180" s="2"/>
      <c r="Q180" s="2"/>
      <c r="R180" s="2"/>
      <c r="T180" s="14"/>
      <c r="V180" s="15"/>
      <c r="W180" s="16"/>
      <c r="X180" s="14"/>
      <c r="AB180" s="4"/>
    </row>
    <row r="181" customFormat="false" ht="15.75" hidden="false" customHeight="false" outlineLevel="0" collapsed="false">
      <c r="A181" s="2"/>
      <c r="K181" s="2"/>
      <c r="L181" s="2"/>
      <c r="M181" s="2"/>
      <c r="N181" s="2"/>
      <c r="O181" s="12"/>
      <c r="P181" s="2"/>
      <c r="Q181" s="2"/>
      <c r="R181" s="2"/>
      <c r="T181" s="14"/>
      <c r="V181" s="15"/>
      <c r="W181" s="16"/>
      <c r="X181" s="14"/>
      <c r="AB181" s="4"/>
    </row>
    <row r="182" customFormat="false" ht="15.75" hidden="false" customHeight="false" outlineLevel="0" collapsed="false">
      <c r="A182" s="2"/>
      <c r="K182" s="2"/>
      <c r="L182" s="2"/>
      <c r="M182" s="2"/>
      <c r="N182" s="2"/>
      <c r="O182" s="12"/>
      <c r="P182" s="2"/>
      <c r="Q182" s="2"/>
      <c r="R182" s="2"/>
      <c r="T182" s="14"/>
      <c r="V182" s="15"/>
      <c r="W182" s="16"/>
      <c r="X182" s="14"/>
      <c r="AB182" s="4"/>
    </row>
    <row r="183" customFormat="false" ht="15.75" hidden="false" customHeight="false" outlineLevel="0" collapsed="false">
      <c r="A183" s="2"/>
      <c r="K183" s="2"/>
      <c r="L183" s="2"/>
      <c r="M183" s="2"/>
      <c r="N183" s="2"/>
      <c r="O183" s="12"/>
      <c r="P183" s="2"/>
      <c r="Q183" s="2"/>
      <c r="R183" s="2"/>
      <c r="T183" s="14"/>
      <c r="V183" s="15"/>
      <c r="W183" s="16"/>
      <c r="X183" s="14"/>
      <c r="AB183" s="4"/>
    </row>
    <row r="184" customFormat="false" ht="15.75" hidden="false" customHeight="false" outlineLevel="0" collapsed="false">
      <c r="A184" s="2"/>
      <c r="K184" s="2"/>
      <c r="L184" s="2"/>
      <c r="M184" s="2"/>
      <c r="N184" s="2"/>
      <c r="O184" s="12"/>
      <c r="P184" s="2"/>
      <c r="Q184" s="2"/>
      <c r="R184" s="2"/>
      <c r="T184" s="14"/>
      <c r="V184" s="15"/>
      <c r="W184" s="16"/>
      <c r="X184" s="14"/>
      <c r="AB184" s="4"/>
    </row>
    <row r="185" customFormat="false" ht="15.75" hidden="false" customHeight="false" outlineLevel="0" collapsed="false">
      <c r="A185" s="2"/>
      <c r="K185" s="2"/>
      <c r="L185" s="2"/>
      <c r="M185" s="2"/>
      <c r="N185" s="2"/>
      <c r="O185" s="12"/>
      <c r="P185" s="2"/>
      <c r="Q185" s="2"/>
      <c r="R185" s="2"/>
      <c r="T185" s="14"/>
      <c r="V185" s="15"/>
      <c r="W185" s="16"/>
      <c r="X185" s="14"/>
      <c r="AB185" s="4"/>
    </row>
    <row r="186" customFormat="false" ht="15.75" hidden="false" customHeight="false" outlineLevel="0" collapsed="false">
      <c r="A186" s="2"/>
      <c r="K186" s="2"/>
      <c r="L186" s="2"/>
      <c r="M186" s="2"/>
      <c r="N186" s="2"/>
      <c r="O186" s="12"/>
      <c r="P186" s="2"/>
      <c r="Q186" s="2"/>
      <c r="R186" s="2"/>
      <c r="T186" s="14"/>
      <c r="V186" s="15"/>
      <c r="W186" s="16"/>
      <c r="X186" s="14"/>
      <c r="AB186" s="4"/>
    </row>
    <row r="187" customFormat="false" ht="15.75" hidden="false" customHeight="false" outlineLevel="0" collapsed="false">
      <c r="A187" s="2"/>
      <c r="K187" s="2"/>
      <c r="L187" s="2"/>
      <c r="M187" s="2"/>
      <c r="N187" s="2"/>
      <c r="O187" s="12"/>
      <c r="P187" s="2"/>
      <c r="Q187" s="2"/>
      <c r="R187" s="2"/>
      <c r="T187" s="14"/>
      <c r="V187" s="15"/>
      <c r="W187" s="16"/>
      <c r="X187" s="14"/>
      <c r="AB187" s="4"/>
    </row>
    <row r="188" customFormat="false" ht="15.75" hidden="false" customHeight="false" outlineLevel="0" collapsed="false">
      <c r="A188" s="2"/>
      <c r="K188" s="2"/>
      <c r="L188" s="2"/>
      <c r="M188" s="2"/>
      <c r="N188" s="2"/>
      <c r="O188" s="12"/>
      <c r="P188" s="2"/>
      <c r="Q188" s="2"/>
      <c r="R188" s="2"/>
      <c r="T188" s="14"/>
      <c r="V188" s="15"/>
      <c r="W188" s="16"/>
      <c r="X188" s="14"/>
      <c r="AB188" s="4"/>
    </row>
    <row r="189" customFormat="false" ht="15.75" hidden="false" customHeight="false" outlineLevel="0" collapsed="false">
      <c r="A189" s="2"/>
      <c r="K189" s="2"/>
      <c r="L189" s="2"/>
      <c r="M189" s="2"/>
      <c r="N189" s="2"/>
      <c r="O189" s="12"/>
      <c r="P189" s="2"/>
      <c r="Q189" s="2"/>
      <c r="R189" s="2"/>
      <c r="T189" s="14"/>
      <c r="V189" s="15"/>
      <c r="W189" s="16"/>
      <c r="X189" s="14"/>
      <c r="AB189" s="4"/>
    </row>
    <row r="190" customFormat="false" ht="15.75" hidden="false" customHeight="false" outlineLevel="0" collapsed="false">
      <c r="A190" s="2"/>
      <c r="K190" s="2"/>
      <c r="L190" s="2"/>
      <c r="M190" s="2"/>
      <c r="N190" s="2"/>
      <c r="O190" s="12"/>
      <c r="P190" s="2"/>
      <c r="Q190" s="2"/>
      <c r="R190" s="2"/>
      <c r="T190" s="14"/>
      <c r="V190" s="15"/>
      <c r="W190" s="16"/>
      <c r="X190" s="14"/>
      <c r="AB190" s="4"/>
    </row>
    <row r="191" customFormat="false" ht="15.75" hidden="false" customHeight="false" outlineLevel="0" collapsed="false">
      <c r="A191" s="2"/>
      <c r="K191" s="2"/>
      <c r="L191" s="2"/>
      <c r="M191" s="2"/>
      <c r="N191" s="2"/>
      <c r="O191" s="12"/>
      <c r="P191" s="2"/>
      <c r="Q191" s="2"/>
      <c r="R191" s="2"/>
      <c r="T191" s="14"/>
      <c r="V191" s="15"/>
      <c r="W191" s="16"/>
      <c r="X191" s="14"/>
      <c r="AB191" s="4"/>
    </row>
    <row r="192" customFormat="false" ht="15.75" hidden="false" customHeight="false" outlineLevel="0" collapsed="false">
      <c r="A192" s="2"/>
      <c r="K192" s="2"/>
      <c r="L192" s="2"/>
      <c r="M192" s="2"/>
      <c r="N192" s="2"/>
      <c r="O192" s="12"/>
      <c r="P192" s="2"/>
      <c r="Q192" s="2"/>
      <c r="R192" s="2"/>
      <c r="T192" s="14"/>
      <c r="V192" s="15"/>
      <c r="W192" s="16"/>
      <c r="X192" s="14"/>
      <c r="AB192" s="4"/>
    </row>
    <row r="193" customFormat="false" ht="15.75" hidden="false" customHeight="false" outlineLevel="0" collapsed="false">
      <c r="A193" s="2"/>
      <c r="K193" s="2"/>
      <c r="L193" s="2"/>
      <c r="M193" s="2"/>
      <c r="N193" s="2"/>
      <c r="O193" s="12"/>
      <c r="P193" s="2"/>
      <c r="Q193" s="2"/>
      <c r="R193" s="2"/>
      <c r="T193" s="14"/>
      <c r="V193" s="15"/>
      <c r="W193" s="16"/>
      <c r="X193" s="14"/>
      <c r="AB193" s="4"/>
    </row>
    <row r="194" customFormat="false" ht="15.75" hidden="false" customHeight="false" outlineLevel="0" collapsed="false">
      <c r="A194" s="2"/>
      <c r="K194" s="2"/>
      <c r="L194" s="2"/>
      <c r="M194" s="2"/>
      <c r="N194" s="2"/>
      <c r="O194" s="12"/>
      <c r="P194" s="2"/>
      <c r="Q194" s="2"/>
      <c r="R194" s="2"/>
      <c r="T194" s="14"/>
      <c r="V194" s="15"/>
      <c r="W194" s="16"/>
      <c r="X194" s="14"/>
      <c r="AB194" s="4"/>
    </row>
    <row r="195" customFormat="false" ht="15.75" hidden="false" customHeight="false" outlineLevel="0" collapsed="false">
      <c r="A195" s="2"/>
      <c r="K195" s="2"/>
      <c r="L195" s="2"/>
      <c r="M195" s="2"/>
      <c r="N195" s="2"/>
      <c r="O195" s="12"/>
      <c r="P195" s="2"/>
      <c r="Q195" s="2"/>
      <c r="R195" s="2"/>
      <c r="T195" s="14"/>
      <c r="V195" s="15"/>
      <c r="W195" s="16"/>
      <c r="X195" s="14"/>
      <c r="AB195" s="4"/>
    </row>
    <row r="196" customFormat="false" ht="15.75" hidden="false" customHeight="false" outlineLevel="0" collapsed="false">
      <c r="A196" s="2"/>
      <c r="K196" s="2"/>
      <c r="L196" s="2"/>
      <c r="M196" s="2"/>
      <c r="N196" s="2"/>
      <c r="O196" s="12"/>
      <c r="P196" s="2"/>
      <c r="Q196" s="2"/>
      <c r="R196" s="2"/>
      <c r="T196" s="14"/>
      <c r="V196" s="15"/>
      <c r="W196" s="16"/>
      <c r="X196" s="14"/>
      <c r="AB196" s="4"/>
    </row>
    <row r="197" customFormat="false" ht="15.75" hidden="false" customHeight="false" outlineLevel="0" collapsed="false">
      <c r="A197" s="2"/>
      <c r="K197" s="2"/>
      <c r="L197" s="2"/>
      <c r="M197" s="2"/>
      <c r="N197" s="2"/>
      <c r="O197" s="12"/>
      <c r="P197" s="2"/>
      <c r="Q197" s="2"/>
      <c r="R197" s="2"/>
      <c r="T197" s="14"/>
      <c r="V197" s="15"/>
      <c r="W197" s="16"/>
      <c r="X197" s="14"/>
      <c r="AB197" s="4"/>
    </row>
    <row r="198" customFormat="false" ht="15.75" hidden="false" customHeight="false" outlineLevel="0" collapsed="false">
      <c r="A198" s="2"/>
      <c r="K198" s="2"/>
      <c r="L198" s="2"/>
      <c r="M198" s="2"/>
      <c r="N198" s="2"/>
      <c r="O198" s="12"/>
      <c r="P198" s="2"/>
      <c r="Q198" s="2"/>
      <c r="R198" s="2"/>
      <c r="T198" s="14"/>
      <c r="V198" s="15"/>
      <c r="W198" s="16"/>
      <c r="X198" s="14"/>
      <c r="AB198" s="4"/>
    </row>
    <row r="199" customFormat="false" ht="15.75" hidden="false" customHeight="false" outlineLevel="0" collapsed="false">
      <c r="A199" s="2"/>
      <c r="K199" s="2"/>
      <c r="L199" s="2"/>
      <c r="M199" s="2"/>
      <c r="N199" s="2"/>
      <c r="O199" s="12"/>
      <c r="P199" s="2"/>
      <c r="Q199" s="2"/>
      <c r="R199" s="2"/>
      <c r="T199" s="14"/>
      <c r="V199" s="15"/>
      <c r="W199" s="16"/>
      <c r="X199" s="14"/>
      <c r="AB199" s="4"/>
    </row>
    <row r="200" customFormat="false" ht="15.75" hidden="false" customHeight="false" outlineLevel="0" collapsed="false">
      <c r="A200" s="2"/>
      <c r="K200" s="2"/>
      <c r="L200" s="2"/>
      <c r="M200" s="2"/>
      <c r="N200" s="2"/>
      <c r="O200" s="12"/>
      <c r="P200" s="2"/>
      <c r="Q200" s="2"/>
      <c r="R200" s="2"/>
      <c r="T200" s="14"/>
      <c r="V200" s="15"/>
      <c r="W200" s="16"/>
      <c r="X200" s="14"/>
      <c r="AB200" s="4"/>
    </row>
    <row r="201" customFormat="false" ht="15.75" hidden="false" customHeight="false" outlineLevel="0" collapsed="false">
      <c r="A201" s="2"/>
      <c r="K201" s="2"/>
      <c r="L201" s="2"/>
      <c r="M201" s="2"/>
      <c r="N201" s="2"/>
      <c r="O201" s="12"/>
      <c r="P201" s="2"/>
      <c r="Q201" s="2"/>
      <c r="R201" s="2"/>
      <c r="T201" s="14"/>
      <c r="V201" s="15"/>
      <c r="W201" s="16"/>
      <c r="X201" s="14"/>
      <c r="AB201" s="4"/>
    </row>
    <row r="202" customFormat="false" ht="15.75" hidden="false" customHeight="false" outlineLevel="0" collapsed="false">
      <c r="A202" s="2"/>
      <c r="K202" s="2"/>
      <c r="L202" s="2"/>
      <c r="M202" s="2"/>
      <c r="N202" s="2"/>
      <c r="O202" s="12"/>
      <c r="P202" s="2"/>
      <c r="Q202" s="2"/>
      <c r="R202" s="2"/>
      <c r="T202" s="14"/>
      <c r="V202" s="15"/>
      <c r="W202" s="16"/>
      <c r="X202" s="14"/>
      <c r="AB202" s="4"/>
    </row>
    <row r="203" customFormat="false" ht="15.75" hidden="false" customHeight="false" outlineLevel="0" collapsed="false">
      <c r="A203" s="2"/>
      <c r="K203" s="2"/>
      <c r="L203" s="2"/>
      <c r="M203" s="2"/>
      <c r="N203" s="2"/>
      <c r="O203" s="12"/>
      <c r="P203" s="2"/>
      <c r="Q203" s="2"/>
      <c r="R203" s="2"/>
      <c r="T203" s="14"/>
      <c r="V203" s="15"/>
      <c r="W203" s="16"/>
      <c r="X203" s="14"/>
      <c r="AB203" s="4"/>
    </row>
    <row r="204" customFormat="false" ht="15.75" hidden="false" customHeight="false" outlineLevel="0" collapsed="false">
      <c r="A204" s="2"/>
      <c r="K204" s="2"/>
      <c r="L204" s="2"/>
      <c r="M204" s="2"/>
      <c r="N204" s="2"/>
      <c r="O204" s="12"/>
      <c r="P204" s="2"/>
      <c r="Q204" s="2"/>
      <c r="R204" s="2"/>
      <c r="T204" s="14"/>
      <c r="V204" s="15"/>
      <c r="W204" s="16"/>
      <c r="X204" s="14"/>
      <c r="AB204" s="4"/>
    </row>
    <row r="205" customFormat="false" ht="15.75" hidden="false" customHeight="false" outlineLevel="0" collapsed="false">
      <c r="A205" s="2"/>
      <c r="K205" s="2"/>
      <c r="L205" s="2"/>
      <c r="M205" s="2"/>
      <c r="N205" s="2"/>
      <c r="O205" s="12"/>
      <c r="P205" s="2"/>
      <c r="Q205" s="2"/>
      <c r="R205" s="2"/>
      <c r="T205" s="14"/>
      <c r="V205" s="15"/>
      <c r="W205" s="16"/>
      <c r="X205" s="14"/>
      <c r="AB205" s="4"/>
    </row>
    <row r="206" customFormat="false" ht="15.75" hidden="false" customHeight="false" outlineLevel="0" collapsed="false">
      <c r="A206" s="2"/>
      <c r="K206" s="2"/>
      <c r="L206" s="2"/>
      <c r="M206" s="2"/>
      <c r="N206" s="2"/>
      <c r="O206" s="12"/>
      <c r="P206" s="2"/>
      <c r="Q206" s="2"/>
      <c r="R206" s="2"/>
      <c r="T206" s="14"/>
      <c r="V206" s="15"/>
      <c r="W206" s="16"/>
      <c r="X206" s="14"/>
      <c r="AB206" s="4"/>
    </row>
    <row r="207" customFormat="false" ht="15.75" hidden="false" customHeight="false" outlineLevel="0" collapsed="false">
      <c r="A207" s="2"/>
      <c r="K207" s="2"/>
      <c r="L207" s="2"/>
      <c r="M207" s="2"/>
      <c r="N207" s="2"/>
      <c r="O207" s="12"/>
      <c r="P207" s="2"/>
      <c r="Q207" s="2"/>
      <c r="R207" s="2"/>
      <c r="T207" s="14"/>
      <c r="V207" s="15"/>
      <c r="W207" s="16"/>
      <c r="X207" s="14"/>
      <c r="AB207" s="4"/>
    </row>
    <row r="208" customFormat="false" ht="15.75" hidden="false" customHeight="false" outlineLevel="0" collapsed="false">
      <c r="A208" s="2"/>
      <c r="K208" s="2"/>
      <c r="L208" s="2"/>
      <c r="M208" s="2"/>
      <c r="N208" s="2"/>
      <c r="O208" s="12"/>
      <c r="P208" s="2"/>
      <c r="Q208" s="2"/>
      <c r="R208" s="2"/>
      <c r="T208" s="14"/>
      <c r="V208" s="15"/>
      <c r="W208" s="16"/>
      <c r="X208" s="14"/>
      <c r="AB208" s="4"/>
    </row>
    <row r="209" customFormat="false" ht="15.75" hidden="false" customHeight="false" outlineLevel="0" collapsed="false">
      <c r="A209" s="2"/>
      <c r="K209" s="2"/>
      <c r="L209" s="2"/>
      <c r="M209" s="2"/>
      <c r="N209" s="2"/>
      <c r="O209" s="12"/>
      <c r="P209" s="2"/>
      <c r="Q209" s="2"/>
      <c r="R209" s="2"/>
      <c r="T209" s="14"/>
      <c r="V209" s="15"/>
      <c r="W209" s="16"/>
      <c r="X209" s="14"/>
      <c r="AB209" s="4"/>
    </row>
    <row r="210" customFormat="false" ht="15.75" hidden="false" customHeight="false" outlineLevel="0" collapsed="false">
      <c r="A210" s="2"/>
      <c r="K210" s="2"/>
      <c r="L210" s="2"/>
      <c r="M210" s="2"/>
      <c r="N210" s="2"/>
      <c r="O210" s="12"/>
      <c r="P210" s="2"/>
      <c r="Q210" s="2"/>
      <c r="R210" s="2"/>
      <c r="T210" s="14"/>
      <c r="V210" s="15"/>
      <c r="W210" s="16"/>
      <c r="X210" s="14"/>
      <c r="AB210" s="4"/>
    </row>
    <row r="211" customFormat="false" ht="15.75" hidden="false" customHeight="false" outlineLevel="0" collapsed="false">
      <c r="A211" s="2"/>
      <c r="K211" s="2"/>
      <c r="L211" s="2"/>
      <c r="M211" s="2"/>
      <c r="N211" s="2"/>
      <c r="O211" s="12"/>
      <c r="P211" s="2"/>
      <c r="Q211" s="2"/>
      <c r="R211" s="2"/>
      <c r="T211" s="14"/>
      <c r="V211" s="15"/>
      <c r="W211" s="16"/>
      <c r="X211" s="14"/>
      <c r="AB211" s="4"/>
    </row>
    <row r="212" customFormat="false" ht="15.75" hidden="false" customHeight="false" outlineLevel="0" collapsed="false">
      <c r="A212" s="2"/>
      <c r="K212" s="2"/>
      <c r="L212" s="2"/>
      <c r="M212" s="2"/>
      <c r="N212" s="2"/>
      <c r="O212" s="12"/>
      <c r="P212" s="2"/>
      <c r="Q212" s="2"/>
      <c r="R212" s="2"/>
      <c r="T212" s="14"/>
      <c r="V212" s="15"/>
      <c r="W212" s="16"/>
      <c r="X212" s="14"/>
      <c r="AB212" s="4"/>
    </row>
    <row r="213" customFormat="false" ht="15.75" hidden="false" customHeight="false" outlineLevel="0" collapsed="false">
      <c r="A213" s="2"/>
      <c r="K213" s="2"/>
      <c r="L213" s="2"/>
      <c r="M213" s="2"/>
      <c r="N213" s="2"/>
      <c r="O213" s="12"/>
      <c r="P213" s="2"/>
      <c r="Q213" s="2"/>
      <c r="R213" s="2"/>
      <c r="T213" s="14"/>
      <c r="V213" s="15"/>
      <c r="W213" s="16"/>
      <c r="X213" s="14"/>
      <c r="AB213" s="4"/>
    </row>
    <row r="214" customFormat="false" ht="15.75" hidden="false" customHeight="false" outlineLevel="0" collapsed="false">
      <c r="A214" s="2"/>
      <c r="K214" s="2"/>
      <c r="L214" s="2"/>
      <c r="M214" s="2"/>
      <c r="N214" s="2"/>
      <c r="O214" s="12"/>
      <c r="P214" s="2"/>
      <c r="Q214" s="2"/>
      <c r="R214" s="2"/>
      <c r="T214" s="14"/>
      <c r="V214" s="15"/>
      <c r="W214" s="16"/>
      <c r="X214" s="14"/>
      <c r="AB214" s="4"/>
    </row>
    <row r="215" customFormat="false" ht="15.75" hidden="false" customHeight="false" outlineLevel="0" collapsed="false">
      <c r="A215" s="2"/>
      <c r="K215" s="2"/>
      <c r="L215" s="2"/>
      <c r="M215" s="2"/>
      <c r="N215" s="2"/>
      <c r="O215" s="12"/>
      <c r="P215" s="2"/>
      <c r="Q215" s="2"/>
      <c r="R215" s="2"/>
      <c r="T215" s="14"/>
      <c r="V215" s="15"/>
      <c r="W215" s="16"/>
      <c r="X215" s="14"/>
      <c r="AB215" s="4"/>
    </row>
    <row r="216" customFormat="false" ht="15.75" hidden="false" customHeight="false" outlineLevel="0" collapsed="false">
      <c r="A216" s="2"/>
      <c r="K216" s="2"/>
      <c r="L216" s="2"/>
      <c r="M216" s="2"/>
      <c r="N216" s="2"/>
      <c r="O216" s="12"/>
      <c r="P216" s="2"/>
      <c r="Q216" s="2"/>
      <c r="R216" s="2"/>
      <c r="T216" s="14"/>
      <c r="V216" s="15"/>
      <c r="W216" s="16"/>
      <c r="X216" s="14"/>
      <c r="AB216" s="4"/>
    </row>
    <row r="217" customFormat="false" ht="15.75" hidden="false" customHeight="false" outlineLevel="0" collapsed="false">
      <c r="A217" s="2"/>
      <c r="K217" s="2"/>
      <c r="L217" s="2"/>
      <c r="M217" s="2"/>
      <c r="N217" s="2"/>
      <c r="O217" s="12"/>
      <c r="P217" s="2"/>
      <c r="Q217" s="2"/>
      <c r="R217" s="2"/>
      <c r="T217" s="14"/>
      <c r="V217" s="15"/>
      <c r="W217" s="16"/>
      <c r="X217" s="14"/>
      <c r="AB217" s="4"/>
    </row>
    <row r="218" customFormat="false" ht="15.75" hidden="false" customHeight="false" outlineLevel="0" collapsed="false">
      <c r="A218" s="2"/>
      <c r="K218" s="2"/>
      <c r="L218" s="2"/>
      <c r="M218" s="2"/>
      <c r="N218" s="2"/>
      <c r="O218" s="12"/>
      <c r="P218" s="2"/>
      <c r="Q218" s="2"/>
      <c r="R218" s="2"/>
      <c r="T218" s="14"/>
      <c r="V218" s="15"/>
      <c r="W218" s="16"/>
      <c r="X218" s="14"/>
      <c r="AB218" s="4"/>
    </row>
    <row r="219" customFormat="false" ht="15.75" hidden="false" customHeight="false" outlineLevel="0" collapsed="false">
      <c r="A219" s="2"/>
      <c r="K219" s="2"/>
      <c r="L219" s="2"/>
      <c r="M219" s="2"/>
      <c r="N219" s="2"/>
      <c r="O219" s="12"/>
      <c r="P219" s="2"/>
      <c r="Q219" s="2"/>
      <c r="R219" s="2"/>
      <c r="T219" s="14"/>
      <c r="V219" s="15"/>
      <c r="W219" s="16"/>
      <c r="X219" s="14"/>
      <c r="AB219" s="4"/>
    </row>
    <row r="220" customFormat="false" ht="15.75" hidden="false" customHeight="false" outlineLevel="0" collapsed="false">
      <c r="A220" s="2"/>
      <c r="K220" s="2"/>
      <c r="L220" s="2"/>
      <c r="M220" s="2"/>
      <c r="N220" s="2"/>
      <c r="O220" s="12"/>
      <c r="P220" s="2"/>
      <c r="Q220" s="2"/>
      <c r="R220" s="2"/>
      <c r="T220" s="14"/>
      <c r="V220" s="15"/>
      <c r="W220" s="16"/>
      <c r="X220" s="14"/>
      <c r="AB220" s="4"/>
    </row>
    <row r="221" customFormat="false" ht="15.75" hidden="false" customHeight="false" outlineLevel="0" collapsed="false">
      <c r="A221" s="2"/>
      <c r="K221" s="2"/>
      <c r="L221" s="2"/>
      <c r="M221" s="2"/>
      <c r="N221" s="2"/>
      <c r="O221" s="12"/>
      <c r="P221" s="2"/>
      <c r="Q221" s="2"/>
      <c r="R221" s="2"/>
      <c r="T221" s="14"/>
      <c r="V221" s="15"/>
      <c r="W221" s="16"/>
      <c r="X221" s="14"/>
      <c r="AB221" s="4"/>
    </row>
    <row r="222" customFormat="false" ht="15.75" hidden="false" customHeight="false" outlineLevel="0" collapsed="false">
      <c r="A222" s="2"/>
      <c r="K222" s="2"/>
      <c r="L222" s="2"/>
      <c r="M222" s="2"/>
      <c r="N222" s="2"/>
      <c r="O222" s="12"/>
      <c r="P222" s="2"/>
      <c r="Q222" s="2"/>
      <c r="R222" s="2"/>
      <c r="T222" s="14"/>
      <c r="V222" s="15"/>
      <c r="W222" s="16"/>
      <c r="X222" s="14"/>
      <c r="AB222" s="4"/>
    </row>
    <row r="223" customFormat="false" ht="15.75" hidden="false" customHeight="false" outlineLevel="0" collapsed="false">
      <c r="A223" s="2"/>
      <c r="K223" s="2"/>
      <c r="L223" s="2"/>
      <c r="M223" s="2"/>
      <c r="N223" s="2"/>
      <c r="O223" s="12"/>
      <c r="P223" s="2"/>
      <c r="Q223" s="2"/>
      <c r="R223" s="2"/>
      <c r="T223" s="14"/>
      <c r="V223" s="15"/>
      <c r="W223" s="16"/>
      <c r="X223" s="14"/>
      <c r="AB223" s="4"/>
    </row>
    <row r="224" customFormat="false" ht="15.75" hidden="false" customHeight="false" outlineLevel="0" collapsed="false">
      <c r="A224" s="2"/>
      <c r="K224" s="2"/>
      <c r="L224" s="2"/>
      <c r="M224" s="2"/>
      <c r="N224" s="2"/>
      <c r="O224" s="12"/>
      <c r="P224" s="2"/>
      <c r="Q224" s="2"/>
      <c r="R224" s="2"/>
      <c r="T224" s="14"/>
      <c r="V224" s="15"/>
      <c r="W224" s="16"/>
      <c r="X224" s="14"/>
      <c r="AB224" s="4"/>
    </row>
    <row r="225" customFormat="false" ht="15.75" hidden="false" customHeight="false" outlineLevel="0" collapsed="false">
      <c r="A225" s="2"/>
      <c r="K225" s="2"/>
      <c r="L225" s="2"/>
      <c r="M225" s="2"/>
      <c r="N225" s="2"/>
      <c r="O225" s="12"/>
      <c r="P225" s="2"/>
      <c r="Q225" s="2"/>
      <c r="R225" s="2"/>
      <c r="T225" s="14"/>
      <c r="V225" s="15"/>
      <c r="W225" s="16"/>
      <c r="X225" s="14"/>
      <c r="AB225" s="4"/>
    </row>
    <row r="226" customFormat="false" ht="15.75" hidden="false" customHeight="false" outlineLevel="0" collapsed="false">
      <c r="A226" s="2"/>
      <c r="K226" s="2"/>
      <c r="L226" s="2"/>
      <c r="M226" s="2"/>
      <c r="N226" s="2"/>
      <c r="O226" s="12"/>
      <c r="P226" s="2"/>
      <c r="Q226" s="2"/>
      <c r="R226" s="2"/>
      <c r="T226" s="14"/>
      <c r="V226" s="15"/>
      <c r="W226" s="16"/>
      <c r="X226" s="14"/>
      <c r="AB226" s="4"/>
    </row>
    <row r="227" customFormat="false" ht="15.75" hidden="false" customHeight="false" outlineLevel="0" collapsed="false">
      <c r="A227" s="2"/>
      <c r="K227" s="2"/>
      <c r="L227" s="2"/>
      <c r="M227" s="2"/>
      <c r="N227" s="2"/>
      <c r="O227" s="12"/>
      <c r="P227" s="2"/>
      <c r="Q227" s="2"/>
      <c r="R227" s="2"/>
      <c r="T227" s="14"/>
      <c r="V227" s="15"/>
      <c r="W227" s="16"/>
      <c r="X227" s="14"/>
      <c r="AB227" s="4"/>
    </row>
    <row r="228" customFormat="false" ht="15.75" hidden="false" customHeight="false" outlineLevel="0" collapsed="false">
      <c r="A228" s="2"/>
      <c r="K228" s="2"/>
      <c r="L228" s="2"/>
      <c r="M228" s="2"/>
      <c r="N228" s="2"/>
      <c r="O228" s="12"/>
      <c r="P228" s="2"/>
      <c r="Q228" s="2"/>
      <c r="R228" s="2"/>
      <c r="T228" s="14"/>
      <c r="V228" s="15"/>
      <c r="W228" s="16"/>
      <c r="X228" s="14"/>
      <c r="AB228" s="4"/>
    </row>
    <row r="229" customFormat="false" ht="15.75" hidden="false" customHeight="false" outlineLevel="0" collapsed="false">
      <c r="A229" s="2"/>
      <c r="K229" s="2"/>
      <c r="L229" s="2"/>
      <c r="M229" s="2"/>
      <c r="N229" s="2"/>
      <c r="O229" s="12"/>
      <c r="P229" s="2"/>
      <c r="Q229" s="2"/>
      <c r="R229" s="2"/>
      <c r="T229" s="14"/>
      <c r="V229" s="15"/>
      <c r="W229" s="16"/>
      <c r="X229" s="14"/>
      <c r="AB229" s="4"/>
    </row>
    <row r="230" customFormat="false" ht="15.75" hidden="false" customHeight="false" outlineLevel="0" collapsed="false">
      <c r="A230" s="2"/>
      <c r="K230" s="2"/>
      <c r="L230" s="2"/>
      <c r="M230" s="2"/>
      <c r="N230" s="2"/>
      <c r="O230" s="12"/>
      <c r="P230" s="2"/>
      <c r="Q230" s="2"/>
      <c r="R230" s="2"/>
      <c r="T230" s="14"/>
      <c r="V230" s="15"/>
      <c r="W230" s="16"/>
      <c r="X230" s="14"/>
      <c r="AB230" s="4"/>
    </row>
    <row r="231" customFormat="false" ht="15.75" hidden="false" customHeight="false" outlineLevel="0" collapsed="false">
      <c r="A231" s="2"/>
      <c r="K231" s="2"/>
      <c r="L231" s="2"/>
      <c r="M231" s="2"/>
      <c r="N231" s="2"/>
      <c r="O231" s="12"/>
      <c r="P231" s="2"/>
      <c r="Q231" s="2"/>
      <c r="R231" s="2"/>
      <c r="T231" s="14"/>
      <c r="V231" s="15"/>
      <c r="W231" s="16"/>
      <c r="X231" s="14"/>
      <c r="AB231" s="4"/>
    </row>
    <row r="232" customFormat="false" ht="15.75" hidden="false" customHeight="false" outlineLevel="0" collapsed="false">
      <c r="A232" s="2"/>
      <c r="K232" s="2"/>
      <c r="L232" s="2"/>
      <c r="M232" s="2"/>
      <c r="N232" s="2"/>
      <c r="O232" s="12"/>
      <c r="P232" s="2"/>
      <c r="Q232" s="2"/>
      <c r="R232" s="2"/>
      <c r="T232" s="14"/>
      <c r="V232" s="15"/>
      <c r="W232" s="16"/>
      <c r="X232" s="14"/>
      <c r="AB232" s="4"/>
    </row>
    <row r="233" customFormat="false" ht="15.75" hidden="false" customHeight="false" outlineLevel="0" collapsed="false">
      <c r="A233" s="2"/>
      <c r="K233" s="2"/>
      <c r="L233" s="2"/>
      <c r="M233" s="2"/>
      <c r="N233" s="2"/>
      <c r="O233" s="12"/>
      <c r="P233" s="2"/>
      <c r="Q233" s="2"/>
      <c r="R233" s="2"/>
      <c r="T233" s="14"/>
      <c r="V233" s="15"/>
      <c r="W233" s="16"/>
      <c r="X233" s="14"/>
      <c r="AB233" s="4"/>
    </row>
    <row r="234" customFormat="false" ht="15.75" hidden="false" customHeight="false" outlineLevel="0" collapsed="false">
      <c r="A234" s="2"/>
      <c r="K234" s="2"/>
      <c r="L234" s="2"/>
      <c r="M234" s="2"/>
      <c r="N234" s="2"/>
      <c r="O234" s="12"/>
      <c r="P234" s="2"/>
      <c r="Q234" s="2"/>
      <c r="R234" s="2"/>
      <c r="T234" s="14"/>
      <c r="V234" s="15"/>
      <c r="W234" s="16"/>
      <c r="X234" s="14"/>
      <c r="AB234" s="4"/>
    </row>
    <row r="235" customFormat="false" ht="15.75" hidden="false" customHeight="false" outlineLevel="0" collapsed="false">
      <c r="A235" s="2"/>
      <c r="K235" s="2"/>
      <c r="L235" s="2"/>
      <c r="M235" s="2"/>
      <c r="N235" s="2"/>
      <c r="O235" s="12"/>
      <c r="P235" s="2"/>
      <c r="Q235" s="2"/>
      <c r="R235" s="2"/>
      <c r="T235" s="14"/>
      <c r="V235" s="15"/>
      <c r="W235" s="16"/>
      <c r="X235" s="14"/>
      <c r="AB235" s="4"/>
    </row>
    <row r="236" customFormat="false" ht="15.75" hidden="false" customHeight="false" outlineLevel="0" collapsed="false">
      <c r="A236" s="2"/>
      <c r="K236" s="2"/>
      <c r="L236" s="2"/>
      <c r="M236" s="2"/>
      <c r="N236" s="2"/>
      <c r="O236" s="12"/>
      <c r="P236" s="2"/>
      <c r="Q236" s="2"/>
      <c r="R236" s="2"/>
      <c r="T236" s="14"/>
      <c r="V236" s="15"/>
      <c r="W236" s="16"/>
      <c r="X236" s="14"/>
      <c r="AB236" s="4"/>
    </row>
    <row r="237" customFormat="false" ht="15.75" hidden="false" customHeight="false" outlineLevel="0" collapsed="false">
      <c r="A237" s="2"/>
      <c r="K237" s="2"/>
      <c r="L237" s="2"/>
      <c r="M237" s="2"/>
      <c r="N237" s="2"/>
      <c r="O237" s="12"/>
      <c r="P237" s="2"/>
      <c r="Q237" s="2"/>
      <c r="R237" s="2"/>
      <c r="T237" s="14"/>
      <c r="V237" s="15"/>
      <c r="W237" s="16"/>
      <c r="X237" s="14"/>
      <c r="AB237" s="4"/>
    </row>
    <row r="238" customFormat="false" ht="15.75" hidden="false" customHeight="false" outlineLevel="0" collapsed="false">
      <c r="A238" s="2"/>
      <c r="K238" s="2"/>
      <c r="L238" s="2"/>
      <c r="M238" s="2"/>
      <c r="N238" s="2"/>
      <c r="O238" s="12"/>
      <c r="P238" s="2"/>
      <c r="Q238" s="2"/>
      <c r="R238" s="2"/>
      <c r="T238" s="14"/>
      <c r="V238" s="15"/>
      <c r="W238" s="16"/>
      <c r="X238" s="14"/>
      <c r="AB238" s="4"/>
    </row>
    <row r="239" customFormat="false" ht="15.75" hidden="false" customHeight="false" outlineLevel="0" collapsed="false">
      <c r="A239" s="2"/>
      <c r="K239" s="2"/>
      <c r="L239" s="2"/>
      <c r="M239" s="2"/>
      <c r="N239" s="2"/>
      <c r="O239" s="12"/>
      <c r="P239" s="2"/>
      <c r="Q239" s="2"/>
      <c r="R239" s="2"/>
      <c r="T239" s="14"/>
      <c r="V239" s="15"/>
      <c r="W239" s="16"/>
      <c r="X239" s="14"/>
      <c r="AB239" s="4"/>
    </row>
    <row r="240" customFormat="false" ht="15.75" hidden="false" customHeight="false" outlineLevel="0" collapsed="false">
      <c r="A240" s="2"/>
      <c r="K240" s="2"/>
      <c r="L240" s="2"/>
      <c r="M240" s="2"/>
      <c r="N240" s="2"/>
      <c r="O240" s="12"/>
      <c r="P240" s="2"/>
      <c r="Q240" s="2"/>
      <c r="R240" s="2"/>
      <c r="T240" s="14"/>
      <c r="V240" s="15"/>
      <c r="W240" s="16"/>
      <c r="X240" s="14"/>
      <c r="AB240" s="4"/>
    </row>
    <row r="241" customFormat="false" ht="15.75" hidden="false" customHeight="false" outlineLevel="0" collapsed="false">
      <c r="A241" s="2"/>
      <c r="K241" s="2"/>
      <c r="L241" s="2"/>
      <c r="M241" s="2"/>
      <c r="N241" s="2"/>
      <c r="O241" s="12"/>
      <c r="P241" s="2"/>
      <c r="Q241" s="2"/>
      <c r="R241" s="2"/>
      <c r="T241" s="14"/>
      <c r="V241" s="15"/>
      <c r="W241" s="16"/>
      <c r="X241" s="14"/>
      <c r="AB241" s="4"/>
    </row>
    <row r="242" customFormat="false" ht="15.75" hidden="false" customHeight="false" outlineLevel="0" collapsed="false">
      <c r="A242" s="2"/>
      <c r="K242" s="2"/>
      <c r="L242" s="2"/>
      <c r="M242" s="2"/>
      <c r="N242" s="2"/>
      <c r="O242" s="12"/>
      <c r="P242" s="2"/>
      <c r="Q242" s="2"/>
      <c r="R242" s="2"/>
      <c r="T242" s="14"/>
      <c r="V242" s="15"/>
      <c r="W242" s="16"/>
      <c r="X242" s="14"/>
      <c r="AB242" s="4"/>
    </row>
    <row r="243" customFormat="false" ht="15.75" hidden="false" customHeight="false" outlineLevel="0" collapsed="false">
      <c r="A243" s="2"/>
      <c r="K243" s="2"/>
      <c r="L243" s="2"/>
      <c r="M243" s="2"/>
      <c r="N243" s="2"/>
      <c r="O243" s="12"/>
      <c r="P243" s="2"/>
      <c r="Q243" s="2"/>
      <c r="R243" s="2"/>
      <c r="T243" s="14"/>
      <c r="V243" s="15"/>
      <c r="W243" s="16"/>
      <c r="X243" s="14"/>
      <c r="AB243" s="4"/>
    </row>
    <row r="244" customFormat="false" ht="15.75" hidden="false" customHeight="false" outlineLevel="0" collapsed="false">
      <c r="A244" s="2"/>
      <c r="K244" s="2"/>
      <c r="L244" s="2"/>
      <c r="M244" s="2"/>
      <c r="N244" s="2"/>
      <c r="O244" s="12"/>
      <c r="P244" s="2"/>
      <c r="Q244" s="2"/>
      <c r="R244" s="2"/>
      <c r="T244" s="14"/>
      <c r="V244" s="15"/>
      <c r="W244" s="16"/>
      <c r="X244" s="14"/>
      <c r="AB244" s="4"/>
    </row>
    <row r="245" customFormat="false" ht="15.75" hidden="false" customHeight="false" outlineLevel="0" collapsed="false">
      <c r="A245" s="2"/>
      <c r="K245" s="2"/>
      <c r="L245" s="2"/>
      <c r="M245" s="2"/>
      <c r="N245" s="2"/>
      <c r="O245" s="12"/>
      <c r="P245" s="2"/>
      <c r="Q245" s="2"/>
      <c r="R245" s="2"/>
      <c r="T245" s="14"/>
      <c r="V245" s="15"/>
      <c r="W245" s="16"/>
      <c r="X245" s="14"/>
      <c r="AB245" s="4"/>
    </row>
    <row r="246" customFormat="false" ht="15.75" hidden="false" customHeight="false" outlineLevel="0" collapsed="false">
      <c r="A246" s="2"/>
      <c r="K246" s="2"/>
      <c r="L246" s="2"/>
      <c r="M246" s="2"/>
      <c r="N246" s="2"/>
      <c r="O246" s="12"/>
      <c r="P246" s="2"/>
      <c r="Q246" s="2"/>
      <c r="R246" s="2"/>
      <c r="T246" s="14"/>
      <c r="V246" s="15"/>
      <c r="W246" s="16"/>
      <c r="X246" s="14"/>
      <c r="AB246" s="4"/>
    </row>
    <row r="247" customFormat="false" ht="15.75" hidden="false" customHeight="false" outlineLevel="0" collapsed="false">
      <c r="A247" s="2"/>
      <c r="K247" s="2"/>
      <c r="L247" s="2"/>
      <c r="M247" s="2"/>
      <c r="N247" s="2"/>
      <c r="O247" s="12"/>
      <c r="P247" s="2"/>
      <c r="Q247" s="2"/>
      <c r="R247" s="2"/>
      <c r="T247" s="14"/>
      <c r="V247" s="15"/>
      <c r="W247" s="16"/>
      <c r="X247" s="14"/>
      <c r="AB247" s="4"/>
    </row>
    <row r="248" customFormat="false" ht="15.75" hidden="false" customHeight="false" outlineLevel="0" collapsed="false">
      <c r="A248" s="2"/>
      <c r="K248" s="2"/>
      <c r="L248" s="2"/>
      <c r="M248" s="2"/>
      <c r="N248" s="2"/>
      <c r="O248" s="12"/>
      <c r="P248" s="2"/>
      <c r="Q248" s="2"/>
      <c r="R248" s="2"/>
      <c r="T248" s="14"/>
      <c r="V248" s="15"/>
      <c r="W248" s="16"/>
      <c r="X248" s="14"/>
      <c r="AB248" s="4"/>
    </row>
    <row r="249" customFormat="false" ht="15.75" hidden="false" customHeight="false" outlineLevel="0" collapsed="false">
      <c r="A249" s="2"/>
      <c r="K249" s="2"/>
      <c r="L249" s="2"/>
      <c r="M249" s="2"/>
      <c r="N249" s="2"/>
      <c r="O249" s="12"/>
      <c r="P249" s="2"/>
      <c r="Q249" s="2"/>
      <c r="R249" s="2"/>
      <c r="T249" s="14"/>
      <c r="V249" s="15"/>
      <c r="W249" s="16"/>
      <c r="X249" s="14"/>
      <c r="AB249" s="4"/>
    </row>
    <row r="250" customFormat="false" ht="15.75" hidden="false" customHeight="false" outlineLevel="0" collapsed="false">
      <c r="A250" s="2"/>
      <c r="K250" s="2"/>
      <c r="L250" s="2"/>
      <c r="M250" s="2"/>
      <c r="N250" s="2"/>
      <c r="O250" s="12"/>
      <c r="P250" s="2"/>
      <c r="Q250" s="2"/>
      <c r="R250" s="2"/>
      <c r="T250" s="14"/>
      <c r="V250" s="15"/>
      <c r="W250" s="16"/>
      <c r="X250" s="14"/>
      <c r="AB250" s="4"/>
    </row>
    <row r="251" customFormat="false" ht="15.75" hidden="false" customHeight="false" outlineLevel="0" collapsed="false">
      <c r="A251" s="2"/>
      <c r="K251" s="2"/>
      <c r="L251" s="2"/>
      <c r="M251" s="2"/>
      <c r="N251" s="2"/>
      <c r="O251" s="12"/>
      <c r="P251" s="2"/>
      <c r="Q251" s="2"/>
      <c r="R251" s="2"/>
      <c r="T251" s="14"/>
      <c r="V251" s="15"/>
      <c r="W251" s="16"/>
      <c r="X251" s="14"/>
      <c r="AB251" s="4"/>
    </row>
    <row r="252" customFormat="false" ht="15.75" hidden="false" customHeight="false" outlineLevel="0" collapsed="false">
      <c r="A252" s="2"/>
      <c r="K252" s="2"/>
      <c r="L252" s="2"/>
      <c r="M252" s="2"/>
      <c r="N252" s="2"/>
      <c r="O252" s="12"/>
      <c r="P252" s="2"/>
      <c r="Q252" s="2"/>
      <c r="R252" s="2"/>
      <c r="T252" s="14"/>
      <c r="V252" s="15"/>
      <c r="W252" s="16"/>
      <c r="X252" s="14"/>
      <c r="AB252" s="4"/>
    </row>
    <row r="253" customFormat="false" ht="15.75" hidden="false" customHeight="false" outlineLevel="0" collapsed="false">
      <c r="A253" s="2"/>
      <c r="K253" s="2"/>
      <c r="L253" s="2"/>
      <c r="M253" s="2"/>
      <c r="N253" s="2"/>
      <c r="O253" s="12"/>
      <c r="P253" s="2"/>
      <c r="Q253" s="2"/>
      <c r="R253" s="2"/>
      <c r="T253" s="14"/>
      <c r="V253" s="15"/>
      <c r="W253" s="16"/>
      <c r="X253" s="14"/>
      <c r="AB253" s="4"/>
    </row>
    <row r="254" customFormat="false" ht="15.75" hidden="false" customHeight="false" outlineLevel="0" collapsed="false">
      <c r="A254" s="2"/>
      <c r="K254" s="2"/>
      <c r="L254" s="2"/>
      <c r="M254" s="2"/>
      <c r="N254" s="2"/>
      <c r="O254" s="12"/>
      <c r="P254" s="2"/>
      <c r="Q254" s="2"/>
      <c r="R254" s="2"/>
      <c r="T254" s="14"/>
      <c r="V254" s="15"/>
      <c r="W254" s="16"/>
      <c r="X254" s="14"/>
      <c r="AB254" s="4"/>
    </row>
    <row r="255" customFormat="false" ht="15.75" hidden="false" customHeight="false" outlineLevel="0" collapsed="false">
      <c r="A255" s="2"/>
      <c r="K255" s="2"/>
      <c r="L255" s="2"/>
      <c r="M255" s="2"/>
      <c r="N255" s="2"/>
      <c r="O255" s="12"/>
      <c r="P255" s="2"/>
      <c r="Q255" s="2"/>
      <c r="R255" s="2"/>
      <c r="T255" s="14"/>
      <c r="V255" s="15"/>
      <c r="W255" s="16"/>
      <c r="X255" s="14"/>
      <c r="AB255" s="4"/>
    </row>
    <row r="256" customFormat="false" ht="15.75" hidden="false" customHeight="false" outlineLevel="0" collapsed="false">
      <c r="A256" s="2"/>
      <c r="K256" s="2"/>
      <c r="L256" s="2"/>
      <c r="M256" s="2"/>
      <c r="N256" s="2"/>
      <c r="O256" s="12"/>
      <c r="P256" s="2"/>
      <c r="Q256" s="2"/>
      <c r="R256" s="2"/>
      <c r="T256" s="14"/>
      <c r="V256" s="15"/>
      <c r="W256" s="16"/>
      <c r="X256" s="14"/>
      <c r="AB256" s="4"/>
    </row>
    <row r="257" customFormat="false" ht="15.75" hidden="false" customHeight="false" outlineLevel="0" collapsed="false">
      <c r="A257" s="2"/>
      <c r="K257" s="2"/>
      <c r="L257" s="2"/>
      <c r="M257" s="2"/>
      <c r="N257" s="2"/>
      <c r="O257" s="12"/>
      <c r="P257" s="2"/>
      <c r="Q257" s="2"/>
      <c r="R257" s="2"/>
      <c r="T257" s="14"/>
      <c r="V257" s="15"/>
      <c r="W257" s="16"/>
      <c r="X257" s="14"/>
      <c r="AB257" s="4"/>
    </row>
    <row r="258" customFormat="false" ht="15.75" hidden="false" customHeight="false" outlineLevel="0" collapsed="false">
      <c r="A258" s="2"/>
      <c r="K258" s="2"/>
      <c r="L258" s="2"/>
      <c r="M258" s="2"/>
      <c r="N258" s="2"/>
      <c r="O258" s="12"/>
      <c r="P258" s="2"/>
      <c r="Q258" s="2"/>
      <c r="R258" s="2"/>
      <c r="T258" s="14"/>
      <c r="V258" s="15"/>
      <c r="W258" s="16"/>
      <c r="X258" s="14"/>
      <c r="AB258" s="4"/>
    </row>
    <row r="259" customFormat="false" ht="15.75" hidden="false" customHeight="false" outlineLevel="0" collapsed="false">
      <c r="A259" s="2"/>
      <c r="K259" s="2"/>
      <c r="L259" s="2"/>
      <c r="M259" s="2"/>
      <c r="N259" s="2"/>
      <c r="O259" s="12"/>
      <c r="P259" s="2"/>
      <c r="Q259" s="2"/>
      <c r="R259" s="2"/>
      <c r="T259" s="14"/>
      <c r="V259" s="15"/>
      <c r="W259" s="16"/>
      <c r="X259" s="14"/>
      <c r="AB259" s="4"/>
    </row>
    <row r="260" customFormat="false" ht="15.75" hidden="false" customHeight="false" outlineLevel="0" collapsed="false">
      <c r="A260" s="2"/>
      <c r="K260" s="2"/>
      <c r="L260" s="2"/>
      <c r="M260" s="2"/>
      <c r="N260" s="2"/>
      <c r="O260" s="12"/>
      <c r="P260" s="2"/>
      <c r="Q260" s="2"/>
      <c r="R260" s="2"/>
      <c r="T260" s="14"/>
      <c r="V260" s="15"/>
      <c r="W260" s="16"/>
      <c r="X260" s="14"/>
      <c r="AB260" s="4"/>
    </row>
    <row r="261" customFormat="false" ht="15.75" hidden="false" customHeight="false" outlineLevel="0" collapsed="false">
      <c r="A261" s="2"/>
      <c r="K261" s="2"/>
      <c r="L261" s="2"/>
      <c r="M261" s="2"/>
      <c r="N261" s="2"/>
      <c r="O261" s="12"/>
      <c r="P261" s="2"/>
      <c r="Q261" s="2"/>
      <c r="R261" s="2"/>
      <c r="T261" s="14"/>
      <c r="V261" s="15"/>
      <c r="W261" s="16"/>
      <c r="X261" s="14"/>
      <c r="AB261" s="4"/>
    </row>
    <row r="262" customFormat="false" ht="15.75" hidden="false" customHeight="false" outlineLevel="0" collapsed="false">
      <c r="A262" s="2"/>
      <c r="K262" s="2"/>
      <c r="L262" s="2"/>
      <c r="M262" s="2"/>
      <c r="N262" s="2"/>
      <c r="O262" s="12"/>
      <c r="P262" s="2"/>
      <c r="Q262" s="2"/>
      <c r="R262" s="2"/>
      <c r="T262" s="14"/>
      <c r="V262" s="15"/>
      <c r="W262" s="16"/>
      <c r="X262" s="14"/>
      <c r="AB262" s="4"/>
    </row>
    <row r="263" customFormat="false" ht="15.75" hidden="false" customHeight="false" outlineLevel="0" collapsed="false">
      <c r="A263" s="2"/>
      <c r="K263" s="2"/>
      <c r="L263" s="2"/>
      <c r="M263" s="2"/>
      <c r="N263" s="2"/>
      <c r="O263" s="12"/>
      <c r="P263" s="2"/>
      <c r="Q263" s="2"/>
      <c r="R263" s="2"/>
      <c r="T263" s="14"/>
      <c r="V263" s="15"/>
      <c r="W263" s="16"/>
      <c r="X263" s="14"/>
      <c r="AB263" s="4"/>
    </row>
    <row r="264" customFormat="false" ht="15.75" hidden="false" customHeight="false" outlineLevel="0" collapsed="false">
      <c r="A264" s="2"/>
      <c r="K264" s="2"/>
      <c r="L264" s="2"/>
      <c r="M264" s="2"/>
      <c r="N264" s="2"/>
      <c r="O264" s="12"/>
      <c r="P264" s="2"/>
      <c r="Q264" s="2"/>
      <c r="R264" s="2"/>
      <c r="T264" s="14"/>
      <c r="V264" s="15"/>
      <c r="W264" s="16"/>
      <c r="X264" s="14"/>
      <c r="AB264" s="4"/>
    </row>
    <row r="265" customFormat="false" ht="15.75" hidden="false" customHeight="false" outlineLevel="0" collapsed="false">
      <c r="A265" s="2"/>
      <c r="K265" s="2"/>
      <c r="L265" s="2"/>
      <c r="M265" s="2"/>
      <c r="N265" s="2"/>
      <c r="O265" s="12"/>
      <c r="P265" s="2"/>
      <c r="Q265" s="2"/>
      <c r="R265" s="2"/>
      <c r="T265" s="14"/>
      <c r="V265" s="15"/>
      <c r="W265" s="16"/>
      <c r="X265" s="14"/>
      <c r="AB265" s="4"/>
    </row>
    <row r="266" customFormat="false" ht="15.75" hidden="false" customHeight="false" outlineLevel="0" collapsed="false">
      <c r="A266" s="2"/>
      <c r="K266" s="2"/>
      <c r="L266" s="2"/>
      <c r="M266" s="2"/>
      <c r="N266" s="2"/>
      <c r="O266" s="12"/>
      <c r="P266" s="2"/>
      <c r="Q266" s="2"/>
      <c r="R266" s="2"/>
      <c r="T266" s="14"/>
      <c r="V266" s="15"/>
      <c r="W266" s="16"/>
      <c r="X266" s="14"/>
      <c r="AB266" s="4"/>
    </row>
    <row r="267" customFormat="false" ht="15.75" hidden="false" customHeight="false" outlineLevel="0" collapsed="false">
      <c r="A267" s="2"/>
      <c r="K267" s="2"/>
      <c r="L267" s="2"/>
      <c r="M267" s="2"/>
      <c r="N267" s="2"/>
      <c r="O267" s="12"/>
      <c r="P267" s="2"/>
      <c r="Q267" s="2"/>
      <c r="R267" s="2"/>
      <c r="T267" s="14"/>
      <c r="V267" s="15"/>
      <c r="W267" s="16"/>
      <c r="X267" s="14"/>
      <c r="AB267" s="4"/>
    </row>
    <row r="268" customFormat="false" ht="15.75" hidden="false" customHeight="false" outlineLevel="0" collapsed="false">
      <c r="A268" s="2"/>
      <c r="K268" s="2"/>
      <c r="L268" s="2"/>
      <c r="M268" s="2"/>
      <c r="N268" s="2"/>
      <c r="O268" s="12"/>
      <c r="P268" s="2"/>
      <c r="Q268" s="2"/>
      <c r="R268" s="2"/>
      <c r="T268" s="14"/>
      <c r="V268" s="15"/>
      <c r="W268" s="16"/>
      <c r="X268" s="14"/>
      <c r="AB268" s="4"/>
    </row>
    <row r="269" customFormat="false" ht="15.75" hidden="false" customHeight="false" outlineLevel="0" collapsed="false">
      <c r="A269" s="2"/>
      <c r="K269" s="2"/>
      <c r="L269" s="2"/>
      <c r="M269" s="2"/>
      <c r="N269" s="2"/>
      <c r="O269" s="12"/>
      <c r="P269" s="2"/>
      <c r="Q269" s="2"/>
      <c r="R269" s="2"/>
      <c r="T269" s="14"/>
      <c r="V269" s="15"/>
      <c r="W269" s="16"/>
      <c r="X269" s="14"/>
      <c r="AB269" s="4"/>
    </row>
    <row r="270" customFormat="false" ht="15.75" hidden="false" customHeight="false" outlineLevel="0" collapsed="false">
      <c r="A270" s="2"/>
      <c r="K270" s="2"/>
      <c r="L270" s="2"/>
      <c r="M270" s="2"/>
      <c r="N270" s="2"/>
      <c r="O270" s="12"/>
      <c r="P270" s="2"/>
      <c r="Q270" s="2"/>
      <c r="R270" s="2"/>
      <c r="T270" s="14"/>
      <c r="V270" s="15"/>
      <c r="W270" s="16"/>
      <c r="X270" s="14"/>
      <c r="AB270" s="4"/>
    </row>
    <row r="271" customFormat="false" ht="15.75" hidden="false" customHeight="false" outlineLevel="0" collapsed="false">
      <c r="A271" s="2"/>
      <c r="K271" s="2"/>
      <c r="L271" s="2"/>
      <c r="M271" s="2"/>
      <c r="N271" s="2"/>
      <c r="O271" s="12"/>
      <c r="P271" s="2"/>
      <c r="Q271" s="2"/>
      <c r="R271" s="2"/>
      <c r="T271" s="14"/>
      <c r="V271" s="15"/>
      <c r="W271" s="16"/>
      <c r="X271" s="14"/>
      <c r="AB271" s="4"/>
    </row>
    <row r="272" customFormat="false" ht="15.75" hidden="false" customHeight="false" outlineLevel="0" collapsed="false">
      <c r="A272" s="2"/>
      <c r="K272" s="2"/>
      <c r="L272" s="2"/>
      <c r="M272" s="2"/>
      <c r="N272" s="2"/>
      <c r="O272" s="12"/>
      <c r="P272" s="2"/>
      <c r="Q272" s="2"/>
      <c r="R272" s="2"/>
      <c r="T272" s="14"/>
      <c r="V272" s="15"/>
      <c r="W272" s="16"/>
      <c r="X272" s="14"/>
      <c r="AB272" s="4"/>
    </row>
    <row r="273" customFormat="false" ht="15.75" hidden="false" customHeight="false" outlineLevel="0" collapsed="false">
      <c r="A273" s="2"/>
      <c r="K273" s="2"/>
      <c r="L273" s="2"/>
      <c r="M273" s="2"/>
      <c r="N273" s="2"/>
      <c r="O273" s="12"/>
      <c r="P273" s="2"/>
      <c r="Q273" s="2"/>
      <c r="R273" s="2"/>
      <c r="T273" s="14"/>
      <c r="V273" s="15"/>
      <c r="W273" s="16"/>
      <c r="X273" s="14"/>
      <c r="AB273" s="4"/>
    </row>
    <row r="274" customFormat="false" ht="15.75" hidden="false" customHeight="false" outlineLevel="0" collapsed="false">
      <c r="A274" s="2"/>
      <c r="K274" s="2"/>
      <c r="L274" s="2"/>
      <c r="M274" s="2"/>
      <c r="N274" s="2"/>
      <c r="O274" s="12"/>
      <c r="P274" s="2"/>
      <c r="Q274" s="2"/>
      <c r="R274" s="2"/>
      <c r="T274" s="14"/>
      <c r="V274" s="15"/>
      <c r="W274" s="16"/>
      <c r="X274" s="14"/>
      <c r="AB274" s="4"/>
    </row>
    <row r="275" customFormat="false" ht="15.75" hidden="false" customHeight="false" outlineLevel="0" collapsed="false">
      <c r="A275" s="2"/>
      <c r="K275" s="2"/>
      <c r="L275" s="2"/>
      <c r="M275" s="2"/>
      <c r="N275" s="2"/>
      <c r="O275" s="12"/>
      <c r="P275" s="2"/>
      <c r="Q275" s="2"/>
      <c r="R275" s="2"/>
      <c r="T275" s="14"/>
      <c r="V275" s="15"/>
      <c r="W275" s="16"/>
      <c r="X275" s="14"/>
      <c r="AB275" s="4"/>
    </row>
    <row r="276" customFormat="false" ht="15.75" hidden="false" customHeight="false" outlineLevel="0" collapsed="false">
      <c r="A276" s="2"/>
      <c r="K276" s="2"/>
      <c r="L276" s="2"/>
      <c r="M276" s="2"/>
      <c r="N276" s="2"/>
      <c r="O276" s="12"/>
      <c r="P276" s="2"/>
      <c r="Q276" s="2"/>
      <c r="R276" s="2"/>
      <c r="T276" s="14"/>
      <c r="V276" s="15"/>
      <c r="W276" s="16"/>
      <c r="X276" s="14"/>
      <c r="AB276" s="4"/>
    </row>
    <row r="277" customFormat="false" ht="15.75" hidden="false" customHeight="false" outlineLevel="0" collapsed="false">
      <c r="A277" s="2"/>
      <c r="K277" s="2"/>
      <c r="L277" s="2"/>
      <c r="M277" s="2"/>
      <c r="N277" s="2"/>
      <c r="O277" s="12"/>
      <c r="P277" s="2"/>
      <c r="Q277" s="2"/>
      <c r="R277" s="2"/>
      <c r="T277" s="14"/>
      <c r="V277" s="15"/>
      <c r="W277" s="16"/>
      <c r="X277" s="14"/>
      <c r="AB277" s="4"/>
    </row>
    <row r="278" customFormat="false" ht="15.75" hidden="false" customHeight="false" outlineLevel="0" collapsed="false">
      <c r="A278" s="2"/>
      <c r="K278" s="2"/>
      <c r="L278" s="2"/>
      <c r="M278" s="2"/>
      <c r="N278" s="2"/>
      <c r="O278" s="12"/>
      <c r="P278" s="2"/>
      <c r="Q278" s="2"/>
      <c r="R278" s="2"/>
      <c r="T278" s="14"/>
      <c r="V278" s="15"/>
      <c r="W278" s="16"/>
      <c r="X278" s="14"/>
      <c r="AB278" s="4"/>
    </row>
    <row r="279" customFormat="false" ht="15.75" hidden="false" customHeight="false" outlineLevel="0" collapsed="false">
      <c r="A279" s="2"/>
      <c r="K279" s="2"/>
      <c r="L279" s="2"/>
      <c r="M279" s="2"/>
      <c r="N279" s="2"/>
      <c r="O279" s="12"/>
      <c r="P279" s="2"/>
      <c r="Q279" s="2"/>
      <c r="R279" s="2"/>
      <c r="T279" s="14"/>
      <c r="V279" s="15"/>
      <c r="W279" s="16"/>
      <c r="X279" s="14"/>
      <c r="AB279" s="4"/>
    </row>
    <row r="280" customFormat="false" ht="15.75" hidden="false" customHeight="false" outlineLevel="0" collapsed="false">
      <c r="A280" s="2"/>
      <c r="K280" s="2"/>
      <c r="L280" s="2"/>
      <c r="M280" s="2"/>
      <c r="N280" s="2"/>
      <c r="O280" s="12"/>
      <c r="P280" s="2"/>
      <c r="Q280" s="2"/>
      <c r="R280" s="2"/>
      <c r="T280" s="14"/>
      <c r="V280" s="15"/>
      <c r="W280" s="16"/>
      <c r="X280" s="14"/>
      <c r="AB280" s="4"/>
    </row>
    <row r="281" customFormat="false" ht="15.75" hidden="false" customHeight="false" outlineLevel="0" collapsed="false">
      <c r="A281" s="2"/>
      <c r="K281" s="2"/>
      <c r="L281" s="2"/>
      <c r="M281" s="2"/>
      <c r="N281" s="2"/>
      <c r="O281" s="12"/>
      <c r="P281" s="2"/>
      <c r="Q281" s="2"/>
      <c r="R281" s="2"/>
      <c r="T281" s="14"/>
      <c r="V281" s="15"/>
      <c r="W281" s="16"/>
      <c r="X281" s="14"/>
      <c r="AB281" s="4"/>
    </row>
    <row r="282" customFormat="false" ht="15.75" hidden="false" customHeight="false" outlineLevel="0" collapsed="false">
      <c r="A282" s="2"/>
      <c r="K282" s="2"/>
      <c r="L282" s="2"/>
      <c r="M282" s="2"/>
      <c r="N282" s="2"/>
      <c r="O282" s="12"/>
      <c r="P282" s="2"/>
      <c r="Q282" s="2"/>
      <c r="R282" s="2"/>
      <c r="T282" s="14"/>
      <c r="V282" s="15"/>
      <c r="W282" s="16"/>
      <c r="X282" s="14"/>
      <c r="AB282" s="4"/>
    </row>
    <row r="283" customFormat="false" ht="15.75" hidden="false" customHeight="false" outlineLevel="0" collapsed="false">
      <c r="A283" s="2"/>
      <c r="K283" s="2"/>
      <c r="L283" s="2"/>
      <c r="M283" s="2"/>
      <c r="N283" s="2"/>
      <c r="O283" s="12"/>
      <c r="P283" s="2"/>
      <c r="Q283" s="2"/>
      <c r="R283" s="2"/>
      <c r="T283" s="14"/>
      <c r="V283" s="15"/>
      <c r="W283" s="16"/>
      <c r="X283" s="14"/>
      <c r="AB283" s="4"/>
    </row>
    <row r="284" customFormat="false" ht="15.75" hidden="false" customHeight="false" outlineLevel="0" collapsed="false">
      <c r="A284" s="2"/>
      <c r="K284" s="2"/>
      <c r="L284" s="2"/>
      <c r="M284" s="2"/>
      <c r="N284" s="2"/>
      <c r="O284" s="12"/>
      <c r="P284" s="2"/>
      <c r="Q284" s="2"/>
      <c r="R284" s="2"/>
      <c r="T284" s="14"/>
      <c r="V284" s="15"/>
      <c r="W284" s="16"/>
      <c r="X284" s="14"/>
      <c r="AB284" s="4"/>
    </row>
    <row r="285" customFormat="false" ht="15.75" hidden="false" customHeight="false" outlineLevel="0" collapsed="false">
      <c r="A285" s="2"/>
      <c r="K285" s="2"/>
      <c r="L285" s="2"/>
      <c r="M285" s="2"/>
      <c r="N285" s="2"/>
      <c r="O285" s="12"/>
      <c r="P285" s="2"/>
      <c r="Q285" s="2"/>
      <c r="R285" s="2"/>
      <c r="T285" s="14"/>
      <c r="V285" s="15"/>
      <c r="W285" s="16"/>
      <c r="X285" s="14"/>
      <c r="AB285" s="4"/>
    </row>
    <row r="286" customFormat="false" ht="15.75" hidden="false" customHeight="false" outlineLevel="0" collapsed="false">
      <c r="A286" s="2"/>
      <c r="K286" s="2"/>
      <c r="L286" s="2"/>
      <c r="M286" s="2"/>
      <c r="N286" s="2"/>
      <c r="O286" s="12"/>
      <c r="P286" s="2"/>
      <c r="Q286" s="2"/>
      <c r="R286" s="2"/>
      <c r="T286" s="14"/>
      <c r="V286" s="15"/>
      <c r="W286" s="16"/>
      <c r="X286" s="14"/>
      <c r="AB286" s="4"/>
    </row>
    <row r="287" customFormat="false" ht="15.75" hidden="false" customHeight="false" outlineLevel="0" collapsed="false">
      <c r="A287" s="2"/>
      <c r="K287" s="2"/>
      <c r="L287" s="2"/>
      <c r="M287" s="2"/>
      <c r="N287" s="2"/>
      <c r="O287" s="12"/>
      <c r="P287" s="2"/>
      <c r="Q287" s="2"/>
      <c r="R287" s="2"/>
      <c r="T287" s="14"/>
      <c r="V287" s="15"/>
      <c r="W287" s="16"/>
      <c r="X287" s="14"/>
      <c r="AB287" s="4"/>
    </row>
    <row r="288" customFormat="false" ht="15.75" hidden="false" customHeight="false" outlineLevel="0" collapsed="false">
      <c r="A288" s="2"/>
      <c r="K288" s="2"/>
      <c r="L288" s="2"/>
      <c r="M288" s="2"/>
      <c r="N288" s="2"/>
      <c r="O288" s="12"/>
      <c r="P288" s="2"/>
      <c r="Q288" s="2"/>
      <c r="R288" s="2"/>
      <c r="T288" s="14"/>
      <c r="V288" s="15"/>
      <c r="W288" s="16"/>
      <c r="X288" s="14"/>
      <c r="AB288" s="4"/>
    </row>
    <row r="289" customFormat="false" ht="15.75" hidden="false" customHeight="false" outlineLevel="0" collapsed="false">
      <c r="A289" s="2"/>
      <c r="K289" s="2"/>
      <c r="L289" s="2"/>
      <c r="M289" s="2"/>
      <c r="N289" s="2"/>
      <c r="O289" s="12"/>
      <c r="P289" s="2"/>
      <c r="Q289" s="2"/>
      <c r="R289" s="2"/>
      <c r="T289" s="14"/>
      <c r="V289" s="15"/>
      <c r="W289" s="16"/>
      <c r="X289" s="14"/>
      <c r="AB289" s="4"/>
    </row>
    <row r="290" customFormat="false" ht="15.75" hidden="false" customHeight="false" outlineLevel="0" collapsed="false">
      <c r="A290" s="2"/>
      <c r="K290" s="2"/>
      <c r="L290" s="2"/>
      <c r="M290" s="2"/>
      <c r="N290" s="2"/>
      <c r="O290" s="12"/>
      <c r="P290" s="2"/>
      <c r="Q290" s="2"/>
      <c r="R290" s="2"/>
      <c r="T290" s="14"/>
      <c r="V290" s="15"/>
      <c r="W290" s="16"/>
      <c r="X290" s="14"/>
      <c r="AB290" s="4"/>
    </row>
    <row r="291" customFormat="false" ht="15.75" hidden="false" customHeight="false" outlineLevel="0" collapsed="false">
      <c r="A291" s="2"/>
      <c r="K291" s="2"/>
      <c r="L291" s="2"/>
      <c r="M291" s="2"/>
      <c r="N291" s="2"/>
      <c r="O291" s="12"/>
      <c r="P291" s="2"/>
      <c r="Q291" s="2"/>
      <c r="R291" s="2"/>
      <c r="T291" s="14"/>
      <c r="V291" s="15"/>
      <c r="W291" s="16"/>
      <c r="X291" s="14"/>
      <c r="AB291" s="4"/>
    </row>
    <row r="292" customFormat="false" ht="15.75" hidden="false" customHeight="false" outlineLevel="0" collapsed="false">
      <c r="A292" s="2"/>
      <c r="K292" s="2"/>
      <c r="L292" s="2"/>
      <c r="M292" s="2"/>
      <c r="N292" s="2"/>
      <c r="O292" s="12"/>
      <c r="P292" s="2"/>
      <c r="Q292" s="2"/>
      <c r="R292" s="2"/>
      <c r="T292" s="14"/>
      <c r="V292" s="15"/>
      <c r="W292" s="16"/>
      <c r="X292" s="14"/>
      <c r="AB292" s="4"/>
    </row>
    <row r="293" customFormat="false" ht="15.75" hidden="false" customHeight="false" outlineLevel="0" collapsed="false">
      <c r="A293" s="2"/>
      <c r="K293" s="2"/>
      <c r="L293" s="2"/>
      <c r="M293" s="2"/>
      <c r="N293" s="2"/>
      <c r="O293" s="12"/>
      <c r="P293" s="2"/>
      <c r="Q293" s="2"/>
      <c r="R293" s="2"/>
      <c r="T293" s="14"/>
      <c r="V293" s="15"/>
      <c r="W293" s="16"/>
      <c r="X293" s="14"/>
      <c r="AB293" s="4"/>
    </row>
    <row r="294" customFormat="false" ht="15.75" hidden="false" customHeight="false" outlineLevel="0" collapsed="false">
      <c r="A294" s="2"/>
      <c r="K294" s="2"/>
      <c r="L294" s="2"/>
      <c r="M294" s="2"/>
      <c r="N294" s="2"/>
      <c r="O294" s="12"/>
      <c r="P294" s="2"/>
      <c r="Q294" s="2"/>
      <c r="R294" s="2"/>
      <c r="T294" s="14"/>
      <c r="V294" s="15"/>
      <c r="W294" s="16"/>
      <c r="X294" s="14"/>
      <c r="AB294" s="4"/>
    </row>
    <row r="295" customFormat="false" ht="15.75" hidden="false" customHeight="false" outlineLevel="0" collapsed="false">
      <c r="A295" s="2"/>
      <c r="K295" s="2"/>
      <c r="L295" s="2"/>
      <c r="M295" s="2"/>
      <c r="N295" s="2"/>
      <c r="O295" s="12"/>
      <c r="P295" s="2"/>
      <c r="Q295" s="2"/>
      <c r="R295" s="2"/>
      <c r="T295" s="14"/>
      <c r="V295" s="15"/>
      <c r="W295" s="16"/>
      <c r="X295" s="14"/>
      <c r="AB295" s="4"/>
    </row>
    <row r="296" customFormat="false" ht="15.75" hidden="false" customHeight="false" outlineLevel="0" collapsed="false">
      <c r="A296" s="2"/>
      <c r="K296" s="2"/>
      <c r="L296" s="2"/>
      <c r="M296" s="2"/>
      <c r="N296" s="2"/>
      <c r="O296" s="12"/>
      <c r="P296" s="2"/>
      <c r="Q296" s="2"/>
      <c r="R296" s="2"/>
      <c r="T296" s="14"/>
      <c r="V296" s="15"/>
      <c r="W296" s="16"/>
      <c r="X296" s="14"/>
      <c r="AB296" s="4"/>
    </row>
    <row r="297" customFormat="false" ht="15.75" hidden="false" customHeight="false" outlineLevel="0" collapsed="false">
      <c r="A297" s="2"/>
      <c r="K297" s="2"/>
      <c r="L297" s="2"/>
      <c r="M297" s="2"/>
      <c r="N297" s="2"/>
      <c r="O297" s="12"/>
      <c r="P297" s="2"/>
      <c r="Q297" s="2"/>
      <c r="R297" s="2"/>
      <c r="T297" s="14"/>
      <c r="V297" s="15"/>
      <c r="W297" s="16"/>
      <c r="X297" s="14"/>
      <c r="AB297" s="4"/>
    </row>
    <row r="298" customFormat="false" ht="15.75" hidden="false" customHeight="false" outlineLevel="0" collapsed="false">
      <c r="A298" s="2"/>
      <c r="K298" s="2"/>
      <c r="L298" s="2"/>
      <c r="M298" s="2"/>
      <c r="N298" s="2"/>
      <c r="O298" s="12"/>
      <c r="P298" s="2"/>
      <c r="Q298" s="2"/>
      <c r="R298" s="2"/>
      <c r="T298" s="14"/>
      <c r="V298" s="15"/>
      <c r="W298" s="16"/>
      <c r="X298" s="14"/>
      <c r="AB298" s="4"/>
    </row>
    <row r="299" customFormat="false" ht="15.75" hidden="false" customHeight="false" outlineLevel="0" collapsed="false">
      <c r="A299" s="2"/>
      <c r="K299" s="2"/>
      <c r="L299" s="2"/>
      <c r="M299" s="2"/>
      <c r="N299" s="2"/>
      <c r="O299" s="12"/>
      <c r="P299" s="2"/>
      <c r="Q299" s="2"/>
      <c r="R299" s="2"/>
      <c r="T299" s="14"/>
      <c r="V299" s="15"/>
      <c r="W299" s="16"/>
      <c r="X299" s="14"/>
      <c r="AB299" s="4"/>
    </row>
    <row r="300" customFormat="false" ht="15.75" hidden="false" customHeight="false" outlineLevel="0" collapsed="false">
      <c r="A300" s="2"/>
      <c r="K300" s="2"/>
      <c r="L300" s="2"/>
      <c r="M300" s="2"/>
      <c r="N300" s="2"/>
      <c r="O300" s="12"/>
      <c r="P300" s="2"/>
      <c r="Q300" s="2"/>
      <c r="R300" s="2"/>
      <c r="T300" s="14"/>
      <c r="V300" s="15"/>
      <c r="W300" s="16"/>
      <c r="X300" s="14"/>
      <c r="AB300" s="4"/>
    </row>
    <row r="301" customFormat="false" ht="15.75" hidden="false" customHeight="false" outlineLevel="0" collapsed="false">
      <c r="A301" s="2"/>
      <c r="K301" s="2"/>
      <c r="L301" s="2"/>
      <c r="M301" s="2"/>
      <c r="N301" s="2"/>
      <c r="O301" s="12"/>
      <c r="P301" s="2"/>
      <c r="Q301" s="2"/>
      <c r="R301" s="2"/>
      <c r="T301" s="14"/>
      <c r="V301" s="15"/>
      <c r="W301" s="16"/>
      <c r="X301" s="14"/>
      <c r="AB301" s="4"/>
    </row>
    <row r="302" customFormat="false" ht="15.75" hidden="false" customHeight="false" outlineLevel="0" collapsed="false">
      <c r="A302" s="2"/>
      <c r="K302" s="2"/>
      <c r="L302" s="2"/>
      <c r="M302" s="2"/>
      <c r="N302" s="2"/>
      <c r="O302" s="12"/>
      <c r="P302" s="2"/>
      <c r="Q302" s="2"/>
      <c r="R302" s="2"/>
      <c r="T302" s="14"/>
      <c r="V302" s="15"/>
      <c r="W302" s="16"/>
      <c r="X302" s="14"/>
      <c r="AB302" s="4"/>
    </row>
    <row r="303" customFormat="false" ht="15.75" hidden="false" customHeight="false" outlineLevel="0" collapsed="false">
      <c r="A303" s="2"/>
      <c r="K303" s="2"/>
      <c r="L303" s="2"/>
      <c r="M303" s="2"/>
      <c r="N303" s="2"/>
      <c r="O303" s="12"/>
      <c r="P303" s="2"/>
      <c r="Q303" s="2"/>
      <c r="R303" s="2"/>
      <c r="T303" s="14"/>
      <c r="V303" s="15"/>
      <c r="W303" s="16"/>
      <c r="X303" s="14"/>
      <c r="AB303" s="4"/>
    </row>
    <row r="304" customFormat="false" ht="15.75" hidden="false" customHeight="false" outlineLevel="0" collapsed="false">
      <c r="A304" s="2"/>
      <c r="K304" s="2"/>
      <c r="L304" s="2"/>
      <c r="M304" s="2"/>
      <c r="N304" s="2"/>
      <c r="O304" s="12"/>
      <c r="P304" s="2"/>
      <c r="Q304" s="2"/>
      <c r="R304" s="2"/>
      <c r="T304" s="14"/>
      <c r="V304" s="15"/>
      <c r="W304" s="16"/>
      <c r="X304" s="14"/>
      <c r="AB304" s="4"/>
    </row>
    <row r="305" customFormat="false" ht="15.75" hidden="false" customHeight="false" outlineLevel="0" collapsed="false">
      <c r="A305" s="2"/>
      <c r="K305" s="2"/>
      <c r="L305" s="2"/>
      <c r="M305" s="2"/>
      <c r="N305" s="2"/>
      <c r="O305" s="12"/>
      <c r="P305" s="2"/>
      <c r="Q305" s="2"/>
      <c r="R305" s="2"/>
      <c r="T305" s="14"/>
      <c r="V305" s="15"/>
      <c r="W305" s="16"/>
      <c r="X305" s="14"/>
      <c r="AB305" s="4"/>
    </row>
    <row r="306" customFormat="false" ht="15.75" hidden="false" customHeight="false" outlineLevel="0" collapsed="false">
      <c r="A306" s="2"/>
      <c r="K306" s="2"/>
      <c r="L306" s="2"/>
      <c r="M306" s="2"/>
      <c r="N306" s="2"/>
      <c r="O306" s="12"/>
      <c r="P306" s="2"/>
      <c r="Q306" s="2"/>
      <c r="R306" s="2"/>
      <c r="T306" s="14"/>
      <c r="V306" s="15"/>
      <c r="W306" s="16"/>
      <c r="X306" s="14"/>
      <c r="AB306" s="4"/>
    </row>
    <row r="307" customFormat="false" ht="15.75" hidden="false" customHeight="false" outlineLevel="0" collapsed="false">
      <c r="A307" s="2"/>
      <c r="K307" s="2"/>
      <c r="L307" s="2"/>
      <c r="M307" s="2"/>
      <c r="N307" s="2"/>
      <c r="O307" s="12"/>
      <c r="P307" s="2"/>
      <c r="Q307" s="2"/>
      <c r="R307" s="2"/>
      <c r="T307" s="14"/>
      <c r="V307" s="15"/>
      <c r="W307" s="16"/>
      <c r="X307" s="14"/>
      <c r="AB307" s="4"/>
    </row>
    <row r="308" customFormat="false" ht="15.75" hidden="false" customHeight="false" outlineLevel="0" collapsed="false">
      <c r="A308" s="2"/>
      <c r="K308" s="2"/>
      <c r="L308" s="2"/>
      <c r="M308" s="2"/>
      <c r="N308" s="2"/>
      <c r="O308" s="12"/>
      <c r="P308" s="2"/>
      <c r="Q308" s="2"/>
      <c r="R308" s="2"/>
      <c r="T308" s="14"/>
      <c r="V308" s="15"/>
      <c r="W308" s="16"/>
      <c r="X308" s="14"/>
      <c r="AB308" s="4"/>
    </row>
    <row r="309" customFormat="false" ht="15.75" hidden="false" customHeight="false" outlineLevel="0" collapsed="false">
      <c r="A309" s="2"/>
      <c r="K309" s="2"/>
      <c r="L309" s="2"/>
      <c r="M309" s="2"/>
      <c r="N309" s="2"/>
      <c r="O309" s="12"/>
      <c r="P309" s="2"/>
      <c r="Q309" s="2"/>
      <c r="R309" s="2"/>
      <c r="T309" s="14"/>
      <c r="V309" s="15"/>
      <c r="W309" s="16"/>
      <c r="X309" s="14"/>
      <c r="AB309" s="4"/>
    </row>
    <row r="310" customFormat="false" ht="15.75" hidden="false" customHeight="false" outlineLevel="0" collapsed="false">
      <c r="A310" s="2"/>
      <c r="K310" s="2"/>
      <c r="L310" s="2"/>
      <c r="M310" s="2"/>
      <c r="N310" s="2"/>
      <c r="O310" s="12"/>
      <c r="P310" s="2"/>
      <c r="Q310" s="2"/>
      <c r="R310" s="2"/>
      <c r="T310" s="14"/>
      <c r="V310" s="15"/>
      <c r="W310" s="16"/>
      <c r="X310" s="14"/>
      <c r="AB310" s="4"/>
    </row>
    <row r="311" customFormat="false" ht="15.75" hidden="false" customHeight="false" outlineLevel="0" collapsed="false">
      <c r="A311" s="2"/>
      <c r="K311" s="2"/>
      <c r="L311" s="2"/>
      <c r="M311" s="2"/>
      <c r="N311" s="2"/>
      <c r="O311" s="12"/>
      <c r="P311" s="2"/>
      <c r="Q311" s="2"/>
      <c r="R311" s="2"/>
      <c r="T311" s="14"/>
      <c r="V311" s="15"/>
      <c r="W311" s="16"/>
      <c r="X311" s="14"/>
      <c r="AB311" s="4"/>
    </row>
    <row r="312" customFormat="false" ht="15.75" hidden="false" customHeight="false" outlineLevel="0" collapsed="false">
      <c r="A312" s="2"/>
      <c r="K312" s="2"/>
      <c r="L312" s="2"/>
      <c r="M312" s="2"/>
      <c r="N312" s="2"/>
      <c r="O312" s="12"/>
      <c r="P312" s="2"/>
      <c r="Q312" s="2"/>
      <c r="R312" s="2"/>
      <c r="T312" s="14"/>
      <c r="V312" s="15"/>
      <c r="W312" s="16"/>
      <c r="X312" s="14"/>
      <c r="AB312" s="4"/>
    </row>
    <row r="313" customFormat="false" ht="15.75" hidden="false" customHeight="false" outlineLevel="0" collapsed="false">
      <c r="A313" s="2"/>
      <c r="K313" s="2"/>
      <c r="L313" s="2"/>
      <c r="M313" s="2"/>
      <c r="N313" s="2"/>
      <c r="O313" s="12"/>
      <c r="P313" s="2"/>
      <c r="Q313" s="2"/>
      <c r="R313" s="2"/>
      <c r="T313" s="14"/>
      <c r="V313" s="15"/>
      <c r="W313" s="16"/>
      <c r="X313" s="14"/>
      <c r="AB313" s="4"/>
    </row>
    <row r="314" customFormat="false" ht="15.75" hidden="false" customHeight="false" outlineLevel="0" collapsed="false">
      <c r="A314" s="2"/>
      <c r="K314" s="2"/>
      <c r="L314" s="2"/>
      <c r="M314" s="2"/>
      <c r="N314" s="2"/>
      <c r="O314" s="12"/>
      <c r="P314" s="2"/>
      <c r="Q314" s="2"/>
      <c r="R314" s="2"/>
      <c r="T314" s="14"/>
      <c r="V314" s="15"/>
      <c r="W314" s="16"/>
      <c r="X314" s="14"/>
      <c r="AB314" s="4"/>
    </row>
    <row r="315" customFormat="false" ht="15.75" hidden="false" customHeight="false" outlineLevel="0" collapsed="false">
      <c r="A315" s="2"/>
      <c r="K315" s="2"/>
      <c r="L315" s="2"/>
      <c r="M315" s="2"/>
      <c r="N315" s="2"/>
      <c r="O315" s="12"/>
      <c r="P315" s="2"/>
      <c r="Q315" s="2"/>
      <c r="R315" s="2"/>
      <c r="T315" s="14"/>
      <c r="V315" s="15"/>
      <c r="W315" s="16"/>
      <c r="X315" s="14"/>
      <c r="AB315" s="4"/>
    </row>
    <row r="316" customFormat="false" ht="15.75" hidden="false" customHeight="false" outlineLevel="0" collapsed="false">
      <c r="A316" s="2"/>
      <c r="K316" s="2"/>
      <c r="L316" s="2"/>
      <c r="M316" s="2"/>
      <c r="N316" s="2"/>
      <c r="O316" s="12"/>
      <c r="P316" s="2"/>
      <c r="Q316" s="2"/>
      <c r="R316" s="2"/>
      <c r="T316" s="14"/>
      <c r="V316" s="15"/>
      <c r="W316" s="16"/>
      <c r="X316" s="14"/>
      <c r="AB316" s="4"/>
    </row>
    <row r="317" customFormat="false" ht="15.75" hidden="false" customHeight="false" outlineLevel="0" collapsed="false">
      <c r="A317" s="2"/>
      <c r="K317" s="2"/>
      <c r="L317" s="2"/>
      <c r="M317" s="2"/>
      <c r="N317" s="2"/>
      <c r="O317" s="12"/>
      <c r="P317" s="2"/>
      <c r="Q317" s="2"/>
      <c r="R317" s="2"/>
      <c r="T317" s="14"/>
      <c r="V317" s="15"/>
      <c r="W317" s="16"/>
      <c r="X317" s="14"/>
      <c r="AB317" s="4"/>
    </row>
    <row r="318" customFormat="false" ht="15.75" hidden="false" customHeight="false" outlineLevel="0" collapsed="false">
      <c r="A318" s="2"/>
      <c r="K318" s="2"/>
      <c r="L318" s="2"/>
      <c r="M318" s="2"/>
      <c r="N318" s="2"/>
      <c r="O318" s="12"/>
      <c r="P318" s="2"/>
      <c r="Q318" s="2"/>
      <c r="R318" s="2"/>
      <c r="T318" s="14"/>
      <c r="V318" s="15"/>
      <c r="W318" s="16"/>
      <c r="X318" s="14"/>
      <c r="AB318" s="4"/>
    </row>
    <row r="319" customFormat="false" ht="15.75" hidden="false" customHeight="false" outlineLevel="0" collapsed="false">
      <c r="A319" s="2"/>
      <c r="K319" s="2"/>
      <c r="L319" s="2"/>
      <c r="M319" s="2"/>
      <c r="N319" s="2"/>
      <c r="O319" s="12"/>
      <c r="P319" s="2"/>
      <c r="Q319" s="2"/>
      <c r="R319" s="2"/>
      <c r="T319" s="14"/>
      <c r="V319" s="15"/>
      <c r="W319" s="16"/>
      <c r="X319" s="14"/>
      <c r="AB319" s="4"/>
    </row>
    <row r="320" customFormat="false" ht="15.75" hidden="false" customHeight="false" outlineLevel="0" collapsed="false">
      <c r="A320" s="2"/>
      <c r="K320" s="2"/>
      <c r="L320" s="2"/>
      <c r="M320" s="2"/>
      <c r="N320" s="2"/>
      <c r="O320" s="12"/>
      <c r="P320" s="2"/>
      <c r="Q320" s="2"/>
      <c r="R320" s="2"/>
      <c r="T320" s="14"/>
      <c r="V320" s="15"/>
      <c r="W320" s="16"/>
      <c r="X320" s="14"/>
      <c r="AB320" s="4"/>
    </row>
    <row r="321" customFormat="false" ht="15.75" hidden="false" customHeight="false" outlineLevel="0" collapsed="false">
      <c r="A321" s="2"/>
      <c r="K321" s="2"/>
      <c r="L321" s="2"/>
      <c r="M321" s="2"/>
      <c r="N321" s="2"/>
      <c r="O321" s="12"/>
      <c r="P321" s="2"/>
      <c r="Q321" s="2"/>
      <c r="R321" s="2"/>
      <c r="T321" s="14"/>
      <c r="V321" s="15"/>
      <c r="W321" s="16"/>
      <c r="X321" s="14"/>
      <c r="AB321" s="4"/>
    </row>
    <row r="322" customFormat="false" ht="15.75" hidden="false" customHeight="false" outlineLevel="0" collapsed="false">
      <c r="A322" s="2"/>
      <c r="K322" s="2"/>
      <c r="L322" s="2"/>
      <c r="M322" s="2"/>
      <c r="N322" s="2"/>
      <c r="O322" s="12"/>
      <c r="P322" s="2"/>
      <c r="Q322" s="2"/>
      <c r="R322" s="2"/>
      <c r="T322" s="14"/>
      <c r="V322" s="15"/>
      <c r="W322" s="16"/>
      <c r="X322" s="14"/>
      <c r="AB322" s="4"/>
    </row>
    <row r="323" customFormat="false" ht="15.75" hidden="false" customHeight="false" outlineLevel="0" collapsed="false">
      <c r="A323" s="2"/>
      <c r="K323" s="2"/>
      <c r="L323" s="2"/>
      <c r="M323" s="2"/>
      <c r="N323" s="2"/>
      <c r="O323" s="12"/>
      <c r="P323" s="2"/>
      <c r="Q323" s="2"/>
      <c r="R323" s="2"/>
      <c r="T323" s="14"/>
      <c r="V323" s="15"/>
      <c r="W323" s="16"/>
      <c r="X323" s="14"/>
      <c r="AB323" s="4"/>
    </row>
    <row r="324" customFormat="false" ht="15.75" hidden="false" customHeight="false" outlineLevel="0" collapsed="false">
      <c r="A324" s="2"/>
      <c r="K324" s="2"/>
      <c r="L324" s="2"/>
      <c r="M324" s="2"/>
      <c r="N324" s="2"/>
      <c r="O324" s="12"/>
      <c r="P324" s="2"/>
      <c r="Q324" s="2"/>
      <c r="R324" s="2"/>
      <c r="T324" s="14"/>
      <c r="V324" s="15"/>
      <c r="W324" s="16"/>
      <c r="X324" s="14"/>
      <c r="AB324" s="4"/>
    </row>
    <row r="325" customFormat="false" ht="15.75" hidden="false" customHeight="false" outlineLevel="0" collapsed="false">
      <c r="A325" s="2"/>
      <c r="K325" s="2"/>
      <c r="L325" s="2"/>
      <c r="M325" s="2"/>
      <c r="N325" s="2"/>
      <c r="O325" s="12"/>
      <c r="P325" s="2"/>
      <c r="Q325" s="2"/>
      <c r="R325" s="2"/>
      <c r="T325" s="14"/>
      <c r="V325" s="15"/>
      <c r="W325" s="16"/>
      <c r="X325" s="14"/>
      <c r="AB325" s="4"/>
    </row>
    <row r="326" customFormat="false" ht="15.75" hidden="false" customHeight="false" outlineLevel="0" collapsed="false">
      <c r="A326" s="2"/>
      <c r="K326" s="2"/>
      <c r="L326" s="2"/>
      <c r="M326" s="2"/>
      <c r="N326" s="2"/>
      <c r="O326" s="12"/>
      <c r="P326" s="2"/>
      <c r="Q326" s="2"/>
      <c r="R326" s="2"/>
      <c r="T326" s="14"/>
      <c r="V326" s="15"/>
      <c r="W326" s="16"/>
      <c r="X326" s="14"/>
      <c r="AB326" s="4"/>
    </row>
    <row r="327" customFormat="false" ht="15.75" hidden="false" customHeight="false" outlineLevel="0" collapsed="false">
      <c r="A327" s="2"/>
      <c r="K327" s="2"/>
      <c r="L327" s="2"/>
      <c r="M327" s="2"/>
      <c r="N327" s="2"/>
      <c r="O327" s="12"/>
      <c r="P327" s="2"/>
      <c r="Q327" s="2"/>
      <c r="R327" s="2"/>
      <c r="T327" s="14"/>
      <c r="V327" s="15"/>
      <c r="W327" s="16"/>
      <c r="X327" s="14"/>
      <c r="AB327" s="4"/>
    </row>
    <row r="328" customFormat="false" ht="15.75" hidden="false" customHeight="false" outlineLevel="0" collapsed="false">
      <c r="A328" s="2"/>
      <c r="K328" s="2"/>
      <c r="L328" s="2"/>
      <c r="M328" s="2"/>
      <c r="N328" s="2"/>
      <c r="O328" s="12"/>
      <c r="P328" s="2"/>
      <c r="Q328" s="2"/>
      <c r="R328" s="2"/>
      <c r="T328" s="14"/>
      <c r="V328" s="15"/>
      <c r="W328" s="16"/>
      <c r="X328" s="14"/>
      <c r="AB328" s="4"/>
    </row>
    <row r="329" customFormat="false" ht="15.75" hidden="false" customHeight="false" outlineLevel="0" collapsed="false">
      <c r="A329" s="2"/>
      <c r="K329" s="2"/>
      <c r="L329" s="2"/>
      <c r="M329" s="2"/>
      <c r="N329" s="2"/>
      <c r="O329" s="12"/>
      <c r="P329" s="2"/>
      <c r="Q329" s="2"/>
      <c r="R329" s="2"/>
      <c r="T329" s="14"/>
      <c r="V329" s="15"/>
      <c r="W329" s="16"/>
      <c r="X329" s="14"/>
      <c r="AB329" s="4"/>
    </row>
    <row r="330" customFormat="false" ht="15.75" hidden="false" customHeight="false" outlineLevel="0" collapsed="false">
      <c r="A330" s="2"/>
      <c r="K330" s="2"/>
      <c r="L330" s="2"/>
      <c r="M330" s="2"/>
      <c r="N330" s="2"/>
      <c r="O330" s="12"/>
      <c r="P330" s="2"/>
      <c r="Q330" s="2"/>
      <c r="R330" s="2"/>
      <c r="T330" s="14"/>
      <c r="V330" s="15"/>
      <c r="W330" s="16"/>
      <c r="X330" s="14"/>
      <c r="AB330" s="4"/>
    </row>
    <row r="331" customFormat="false" ht="15.75" hidden="false" customHeight="false" outlineLevel="0" collapsed="false">
      <c r="A331" s="2"/>
      <c r="K331" s="2"/>
      <c r="L331" s="2"/>
      <c r="M331" s="2"/>
      <c r="N331" s="2"/>
      <c r="O331" s="12"/>
      <c r="P331" s="2"/>
      <c r="Q331" s="2"/>
      <c r="R331" s="2"/>
      <c r="T331" s="14"/>
      <c r="V331" s="15"/>
      <c r="W331" s="16"/>
      <c r="X331" s="14"/>
      <c r="AB331" s="4"/>
    </row>
    <row r="332" customFormat="false" ht="15.75" hidden="false" customHeight="false" outlineLevel="0" collapsed="false">
      <c r="A332" s="2"/>
      <c r="K332" s="2"/>
      <c r="L332" s="2"/>
      <c r="M332" s="2"/>
      <c r="N332" s="2"/>
      <c r="O332" s="12"/>
      <c r="P332" s="2"/>
      <c r="Q332" s="2"/>
      <c r="R332" s="2"/>
      <c r="T332" s="14"/>
      <c r="V332" s="15"/>
      <c r="W332" s="16"/>
      <c r="X332" s="14"/>
      <c r="AB332" s="4"/>
    </row>
    <row r="333" customFormat="false" ht="15.75" hidden="false" customHeight="false" outlineLevel="0" collapsed="false">
      <c r="A333" s="2"/>
      <c r="K333" s="2"/>
      <c r="L333" s="2"/>
      <c r="M333" s="2"/>
      <c r="N333" s="2"/>
      <c r="O333" s="12"/>
      <c r="P333" s="2"/>
      <c r="Q333" s="2"/>
      <c r="R333" s="2"/>
      <c r="T333" s="14"/>
      <c r="V333" s="15"/>
      <c r="W333" s="16"/>
      <c r="X333" s="14"/>
      <c r="AB333" s="4"/>
    </row>
    <row r="334" customFormat="false" ht="15.75" hidden="false" customHeight="false" outlineLevel="0" collapsed="false">
      <c r="A334" s="2"/>
      <c r="K334" s="2"/>
      <c r="L334" s="2"/>
      <c r="M334" s="2"/>
      <c r="N334" s="2"/>
      <c r="O334" s="12"/>
      <c r="P334" s="2"/>
      <c r="Q334" s="2"/>
      <c r="R334" s="2"/>
      <c r="T334" s="14"/>
      <c r="V334" s="15"/>
      <c r="W334" s="16"/>
      <c r="X334" s="14"/>
      <c r="AB334" s="4"/>
    </row>
    <row r="335" customFormat="false" ht="15.75" hidden="false" customHeight="false" outlineLevel="0" collapsed="false">
      <c r="A335" s="2"/>
      <c r="K335" s="2"/>
      <c r="L335" s="2"/>
      <c r="M335" s="2"/>
      <c r="N335" s="2"/>
      <c r="O335" s="12"/>
      <c r="P335" s="2"/>
      <c r="Q335" s="2"/>
      <c r="R335" s="2"/>
      <c r="T335" s="14"/>
      <c r="V335" s="15"/>
      <c r="W335" s="16"/>
      <c r="X335" s="14"/>
      <c r="AB335" s="4"/>
    </row>
    <row r="336" customFormat="false" ht="15.75" hidden="false" customHeight="false" outlineLevel="0" collapsed="false">
      <c r="A336" s="2"/>
      <c r="K336" s="2"/>
      <c r="L336" s="2"/>
      <c r="M336" s="2"/>
      <c r="N336" s="2"/>
      <c r="O336" s="12"/>
      <c r="P336" s="2"/>
      <c r="Q336" s="2"/>
      <c r="R336" s="2"/>
      <c r="T336" s="14"/>
      <c r="V336" s="15"/>
      <c r="W336" s="16"/>
      <c r="X336" s="14"/>
      <c r="AB336" s="4"/>
    </row>
    <row r="337" customFormat="false" ht="15.75" hidden="false" customHeight="false" outlineLevel="0" collapsed="false">
      <c r="A337" s="2"/>
      <c r="K337" s="2"/>
      <c r="L337" s="2"/>
      <c r="M337" s="2"/>
      <c r="N337" s="2"/>
      <c r="O337" s="12"/>
      <c r="P337" s="2"/>
      <c r="Q337" s="2"/>
      <c r="R337" s="2"/>
      <c r="T337" s="14"/>
      <c r="V337" s="15"/>
      <c r="W337" s="16"/>
      <c r="X337" s="14"/>
      <c r="AB337" s="4"/>
    </row>
    <row r="338" customFormat="false" ht="15.75" hidden="false" customHeight="false" outlineLevel="0" collapsed="false">
      <c r="A338" s="2"/>
      <c r="K338" s="2"/>
      <c r="L338" s="2"/>
      <c r="M338" s="2"/>
      <c r="N338" s="2"/>
      <c r="O338" s="12"/>
      <c r="P338" s="2"/>
      <c r="Q338" s="2"/>
      <c r="R338" s="2"/>
      <c r="T338" s="14"/>
      <c r="V338" s="15"/>
      <c r="W338" s="16"/>
      <c r="X338" s="14"/>
      <c r="AB338" s="4"/>
    </row>
    <row r="339" customFormat="false" ht="15.75" hidden="false" customHeight="false" outlineLevel="0" collapsed="false">
      <c r="A339" s="2"/>
      <c r="K339" s="2"/>
      <c r="L339" s="2"/>
      <c r="M339" s="2"/>
      <c r="N339" s="2"/>
      <c r="O339" s="12"/>
      <c r="P339" s="2"/>
      <c r="Q339" s="2"/>
      <c r="R339" s="2"/>
      <c r="T339" s="14"/>
      <c r="V339" s="15"/>
      <c r="W339" s="16"/>
      <c r="X339" s="14"/>
      <c r="AB339" s="4"/>
    </row>
    <row r="340" customFormat="false" ht="15.75" hidden="false" customHeight="false" outlineLevel="0" collapsed="false">
      <c r="A340" s="2"/>
      <c r="K340" s="2"/>
      <c r="L340" s="2"/>
      <c r="M340" s="2"/>
      <c r="N340" s="2"/>
      <c r="O340" s="12"/>
      <c r="P340" s="2"/>
      <c r="Q340" s="2"/>
      <c r="R340" s="2"/>
      <c r="T340" s="14"/>
      <c r="V340" s="15"/>
      <c r="W340" s="16"/>
      <c r="X340" s="14"/>
      <c r="AB340" s="4"/>
    </row>
    <row r="341" customFormat="false" ht="15.75" hidden="false" customHeight="false" outlineLevel="0" collapsed="false">
      <c r="A341" s="2"/>
      <c r="K341" s="2"/>
      <c r="L341" s="2"/>
      <c r="M341" s="2"/>
      <c r="N341" s="2"/>
      <c r="O341" s="12"/>
      <c r="P341" s="2"/>
      <c r="Q341" s="2"/>
      <c r="R341" s="2"/>
      <c r="T341" s="14"/>
      <c r="V341" s="15"/>
      <c r="W341" s="16"/>
      <c r="X341" s="14"/>
      <c r="AB341" s="4"/>
    </row>
    <row r="342" customFormat="false" ht="15.75" hidden="false" customHeight="false" outlineLevel="0" collapsed="false">
      <c r="A342" s="2"/>
      <c r="K342" s="2"/>
      <c r="L342" s="2"/>
      <c r="M342" s="2"/>
      <c r="N342" s="2"/>
      <c r="O342" s="12"/>
      <c r="P342" s="2"/>
      <c r="Q342" s="2"/>
      <c r="R342" s="2"/>
      <c r="T342" s="14"/>
      <c r="V342" s="15"/>
      <c r="W342" s="16"/>
      <c r="X342" s="14"/>
      <c r="AB342" s="4"/>
    </row>
    <row r="343" customFormat="false" ht="15.75" hidden="false" customHeight="false" outlineLevel="0" collapsed="false">
      <c r="A343" s="2"/>
      <c r="K343" s="2"/>
      <c r="L343" s="2"/>
      <c r="M343" s="2"/>
      <c r="N343" s="2"/>
      <c r="O343" s="12"/>
      <c r="P343" s="2"/>
      <c r="Q343" s="2"/>
      <c r="R343" s="2"/>
      <c r="T343" s="14"/>
      <c r="V343" s="15"/>
      <c r="W343" s="16"/>
      <c r="X343" s="14"/>
      <c r="AB343" s="4"/>
    </row>
    <row r="344" customFormat="false" ht="15.75" hidden="false" customHeight="false" outlineLevel="0" collapsed="false">
      <c r="A344" s="2"/>
      <c r="K344" s="2"/>
      <c r="L344" s="2"/>
      <c r="M344" s="2"/>
      <c r="N344" s="2"/>
      <c r="O344" s="12"/>
      <c r="P344" s="2"/>
      <c r="Q344" s="2"/>
      <c r="R344" s="2"/>
      <c r="T344" s="14"/>
      <c r="V344" s="15"/>
      <c r="W344" s="16"/>
      <c r="X344" s="14"/>
      <c r="AB344" s="4"/>
    </row>
    <row r="345" customFormat="false" ht="15.75" hidden="false" customHeight="false" outlineLevel="0" collapsed="false">
      <c r="A345" s="2"/>
      <c r="K345" s="2"/>
      <c r="L345" s="2"/>
      <c r="M345" s="2"/>
      <c r="N345" s="2"/>
      <c r="O345" s="12"/>
      <c r="P345" s="2"/>
      <c r="Q345" s="2"/>
      <c r="R345" s="2"/>
      <c r="T345" s="14"/>
      <c r="V345" s="15"/>
      <c r="W345" s="16"/>
      <c r="X345" s="14"/>
      <c r="AB345" s="4"/>
    </row>
    <row r="346" customFormat="false" ht="15.75" hidden="false" customHeight="false" outlineLevel="0" collapsed="false">
      <c r="A346" s="2"/>
      <c r="K346" s="2"/>
      <c r="L346" s="2"/>
      <c r="M346" s="2"/>
      <c r="N346" s="2"/>
      <c r="O346" s="12"/>
      <c r="P346" s="2"/>
      <c r="Q346" s="2"/>
      <c r="R346" s="2"/>
      <c r="T346" s="14"/>
      <c r="V346" s="15"/>
      <c r="W346" s="16"/>
      <c r="X346" s="14"/>
      <c r="AB346" s="4"/>
    </row>
    <row r="347" customFormat="false" ht="15.75" hidden="false" customHeight="false" outlineLevel="0" collapsed="false">
      <c r="A347" s="2"/>
      <c r="K347" s="2"/>
      <c r="L347" s="2"/>
      <c r="M347" s="2"/>
      <c r="N347" s="2"/>
      <c r="O347" s="12"/>
      <c r="P347" s="2"/>
      <c r="Q347" s="2"/>
      <c r="R347" s="2"/>
      <c r="T347" s="14"/>
      <c r="V347" s="15"/>
      <c r="W347" s="16"/>
      <c r="X347" s="14"/>
      <c r="AB347" s="4"/>
    </row>
    <row r="348" customFormat="false" ht="15.75" hidden="false" customHeight="false" outlineLevel="0" collapsed="false">
      <c r="A348" s="2"/>
      <c r="K348" s="2"/>
      <c r="L348" s="2"/>
      <c r="M348" s="2"/>
      <c r="N348" s="2"/>
      <c r="O348" s="12"/>
      <c r="P348" s="2"/>
      <c r="Q348" s="2"/>
      <c r="R348" s="2"/>
      <c r="T348" s="14"/>
      <c r="V348" s="15"/>
      <c r="W348" s="16"/>
      <c r="X348" s="14"/>
      <c r="AB348" s="4"/>
    </row>
    <row r="349" customFormat="false" ht="15.75" hidden="false" customHeight="false" outlineLevel="0" collapsed="false">
      <c r="A349" s="2"/>
      <c r="K349" s="2"/>
      <c r="L349" s="2"/>
      <c r="M349" s="2"/>
      <c r="N349" s="2"/>
      <c r="O349" s="12"/>
      <c r="P349" s="2"/>
      <c r="Q349" s="2"/>
      <c r="R349" s="2"/>
      <c r="T349" s="14"/>
      <c r="V349" s="15"/>
      <c r="W349" s="16"/>
      <c r="X349" s="14"/>
      <c r="AB349" s="4"/>
    </row>
    <row r="350" customFormat="false" ht="15.75" hidden="false" customHeight="false" outlineLevel="0" collapsed="false">
      <c r="A350" s="2"/>
      <c r="K350" s="2"/>
      <c r="L350" s="2"/>
      <c r="M350" s="2"/>
      <c r="N350" s="2"/>
      <c r="O350" s="12"/>
      <c r="P350" s="2"/>
      <c r="Q350" s="2"/>
      <c r="R350" s="2"/>
      <c r="T350" s="14"/>
      <c r="V350" s="15"/>
      <c r="W350" s="16"/>
      <c r="X350" s="14"/>
      <c r="AB350" s="4"/>
    </row>
    <row r="351" customFormat="false" ht="15.75" hidden="false" customHeight="false" outlineLevel="0" collapsed="false">
      <c r="A351" s="2"/>
      <c r="K351" s="2"/>
      <c r="L351" s="2"/>
      <c r="M351" s="2"/>
      <c r="N351" s="2"/>
      <c r="O351" s="12"/>
      <c r="P351" s="2"/>
      <c r="Q351" s="2"/>
      <c r="R351" s="2"/>
      <c r="T351" s="14"/>
      <c r="V351" s="15"/>
      <c r="W351" s="16"/>
      <c r="X351" s="14"/>
      <c r="AB351" s="4"/>
    </row>
    <row r="352" customFormat="false" ht="15.75" hidden="false" customHeight="false" outlineLevel="0" collapsed="false">
      <c r="A352" s="2"/>
      <c r="K352" s="2"/>
      <c r="L352" s="2"/>
      <c r="M352" s="2"/>
      <c r="N352" s="2"/>
      <c r="O352" s="12"/>
      <c r="P352" s="2"/>
      <c r="Q352" s="2"/>
      <c r="R352" s="2"/>
      <c r="T352" s="14"/>
      <c r="V352" s="15"/>
      <c r="W352" s="16"/>
      <c r="X352" s="14"/>
      <c r="AB352" s="4"/>
    </row>
    <row r="353" customFormat="false" ht="15.75" hidden="false" customHeight="false" outlineLevel="0" collapsed="false">
      <c r="A353" s="2"/>
      <c r="K353" s="2"/>
      <c r="L353" s="2"/>
      <c r="M353" s="2"/>
      <c r="N353" s="2"/>
      <c r="O353" s="12"/>
      <c r="P353" s="2"/>
      <c r="Q353" s="2"/>
      <c r="R353" s="2"/>
      <c r="T353" s="14"/>
      <c r="V353" s="15"/>
      <c r="W353" s="16"/>
      <c r="X353" s="14"/>
      <c r="AB353" s="4"/>
    </row>
    <row r="354" customFormat="false" ht="15.75" hidden="false" customHeight="false" outlineLevel="0" collapsed="false">
      <c r="A354" s="2"/>
      <c r="K354" s="2"/>
      <c r="L354" s="2"/>
      <c r="M354" s="2"/>
      <c r="N354" s="2"/>
      <c r="O354" s="12"/>
      <c r="P354" s="2"/>
      <c r="Q354" s="2"/>
      <c r="R354" s="2"/>
      <c r="T354" s="14"/>
      <c r="V354" s="15"/>
      <c r="W354" s="16"/>
      <c r="X354" s="14"/>
      <c r="AB354" s="4"/>
    </row>
    <row r="355" customFormat="false" ht="15.75" hidden="false" customHeight="false" outlineLevel="0" collapsed="false">
      <c r="A355" s="2"/>
      <c r="K355" s="2"/>
      <c r="L355" s="2"/>
      <c r="M355" s="2"/>
      <c r="N355" s="2"/>
      <c r="O355" s="12"/>
      <c r="P355" s="2"/>
      <c r="Q355" s="2"/>
      <c r="R355" s="2"/>
      <c r="T355" s="14"/>
      <c r="V355" s="15"/>
      <c r="W355" s="16"/>
      <c r="X355" s="14"/>
      <c r="AB355" s="4"/>
    </row>
    <row r="356" customFormat="false" ht="15.75" hidden="false" customHeight="false" outlineLevel="0" collapsed="false">
      <c r="A356" s="2"/>
      <c r="K356" s="2"/>
      <c r="L356" s="2"/>
      <c r="M356" s="2"/>
      <c r="N356" s="2"/>
      <c r="O356" s="12"/>
      <c r="P356" s="2"/>
      <c r="Q356" s="2"/>
      <c r="R356" s="2"/>
      <c r="T356" s="14"/>
      <c r="V356" s="15"/>
      <c r="W356" s="16"/>
      <c r="X356" s="14"/>
      <c r="AB356" s="4"/>
    </row>
    <row r="357" customFormat="false" ht="15.75" hidden="false" customHeight="false" outlineLevel="0" collapsed="false">
      <c r="A357" s="2"/>
      <c r="K357" s="2"/>
      <c r="L357" s="2"/>
      <c r="M357" s="2"/>
      <c r="N357" s="2"/>
      <c r="O357" s="12"/>
      <c r="P357" s="2"/>
      <c r="Q357" s="2"/>
      <c r="R357" s="2"/>
      <c r="T357" s="14"/>
      <c r="V357" s="15"/>
      <c r="W357" s="16"/>
      <c r="X357" s="14"/>
      <c r="AB357" s="4"/>
    </row>
    <row r="358" customFormat="false" ht="15.75" hidden="false" customHeight="false" outlineLevel="0" collapsed="false">
      <c r="A358" s="2"/>
      <c r="K358" s="2"/>
      <c r="L358" s="2"/>
      <c r="M358" s="2"/>
      <c r="N358" s="2"/>
      <c r="O358" s="12"/>
      <c r="P358" s="2"/>
      <c r="Q358" s="2"/>
      <c r="R358" s="2"/>
      <c r="T358" s="14"/>
      <c r="V358" s="15"/>
      <c r="W358" s="16"/>
      <c r="X358" s="14"/>
      <c r="AB358" s="4"/>
    </row>
    <row r="359" customFormat="false" ht="15.75" hidden="false" customHeight="false" outlineLevel="0" collapsed="false">
      <c r="A359" s="2"/>
      <c r="K359" s="2"/>
      <c r="L359" s="2"/>
      <c r="M359" s="2"/>
      <c r="N359" s="2"/>
      <c r="O359" s="12"/>
      <c r="P359" s="2"/>
      <c r="Q359" s="2"/>
      <c r="R359" s="2"/>
      <c r="T359" s="14"/>
      <c r="V359" s="15"/>
      <c r="W359" s="16"/>
      <c r="X359" s="14"/>
      <c r="AB359" s="4"/>
    </row>
    <row r="360" customFormat="false" ht="15.75" hidden="false" customHeight="false" outlineLevel="0" collapsed="false">
      <c r="A360" s="2"/>
      <c r="K360" s="2"/>
      <c r="L360" s="2"/>
      <c r="M360" s="2"/>
      <c r="N360" s="2"/>
      <c r="O360" s="12"/>
      <c r="P360" s="2"/>
      <c r="Q360" s="2"/>
      <c r="R360" s="2"/>
      <c r="T360" s="14"/>
      <c r="V360" s="15"/>
      <c r="W360" s="16"/>
      <c r="X360" s="14"/>
      <c r="AB360" s="4"/>
    </row>
    <row r="361" customFormat="false" ht="15.75" hidden="false" customHeight="false" outlineLevel="0" collapsed="false">
      <c r="A361" s="2"/>
      <c r="K361" s="2"/>
      <c r="L361" s="2"/>
      <c r="M361" s="2"/>
      <c r="N361" s="2"/>
      <c r="O361" s="12"/>
      <c r="P361" s="2"/>
      <c r="Q361" s="2"/>
      <c r="R361" s="2"/>
      <c r="T361" s="14"/>
      <c r="V361" s="15"/>
      <c r="W361" s="16"/>
      <c r="X361" s="14"/>
      <c r="AB361" s="4"/>
    </row>
    <row r="362" customFormat="false" ht="15.75" hidden="false" customHeight="false" outlineLevel="0" collapsed="false">
      <c r="A362" s="2"/>
      <c r="K362" s="2"/>
      <c r="L362" s="2"/>
      <c r="M362" s="2"/>
      <c r="N362" s="2"/>
      <c r="O362" s="12"/>
      <c r="P362" s="2"/>
      <c r="Q362" s="2"/>
      <c r="R362" s="2"/>
      <c r="T362" s="14"/>
      <c r="V362" s="15"/>
      <c r="W362" s="16"/>
      <c r="X362" s="14"/>
      <c r="AB362" s="4"/>
    </row>
    <row r="363" customFormat="false" ht="15.75" hidden="false" customHeight="false" outlineLevel="0" collapsed="false">
      <c r="A363" s="2"/>
      <c r="K363" s="2"/>
      <c r="L363" s="2"/>
      <c r="M363" s="2"/>
      <c r="N363" s="2"/>
      <c r="O363" s="12"/>
      <c r="P363" s="2"/>
      <c r="Q363" s="2"/>
      <c r="R363" s="2"/>
      <c r="T363" s="14"/>
      <c r="V363" s="15"/>
      <c r="W363" s="16"/>
      <c r="X363" s="14"/>
      <c r="AB363" s="4"/>
    </row>
    <row r="364" customFormat="false" ht="15.75" hidden="false" customHeight="false" outlineLevel="0" collapsed="false">
      <c r="A364" s="2"/>
      <c r="K364" s="2"/>
      <c r="L364" s="2"/>
      <c r="M364" s="2"/>
      <c r="N364" s="2"/>
      <c r="O364" s="12"/>
      <c r="P364" s="2"/>
      <c r="Q364" s="2"/>
      <c r="R364" s="2"/>
      <c r="T364" s="14"/>
      <c r="V364" s="15"/>
      <c r="W364" s="16"/>
      <c r="X364" s="14"/>
      <c r="AB364" s="4"/>
    </row>
    <row r="365" customFormat="false" ht="15.75" hidden="false" customHeight="false" outlineLevel="0" collapsed="false">
      <c r="A365" s="2"/>
      <c r="K365" s="2"/>
      <c r="L365" s="2"/>
      <c r="M365" s="2"/>
      <c r="N365" s="2"/>
      <c r="O365" s="12"/>
      <c r="P365" s="2"/>
      <c r="Q365" s="2"/>
      <c r="R365" s="2"/>
      <c r="T365" s="14"/>
      <c r="V365" s="15"/>
      <c r="W365" s="16"/>
      <c r="X365" s="14"/>
      <c r="AB365" s="4"/>
    </row>
    <row r="366" customFormat="false" ht="15.75" hidden="false" customHeight="false" outlineLevel="0" collapsed="false">
      <c r="A366" s="2"/>
      <c r="K366" s="2"/>
      <c r="L366" s="2"/>
      <c r="M366" s="2"/>
      <c r="N366" s="2"/>
      <c r="O366" s="12"/>
      <c r="P366" s="2"/>
      <c r="Q366" s="2"/>
      <c r="R366" s="2"/>
      <c r="T366" s="14"/>
      <c r="V366" s="15"/>
      <c r="W366" s="16"/>
      <c r="X366" s="14"/>
      <c r="AB366" s="4"/>
    </row>
    <row r="367" customFormat="false" ht="15.75" hidden="false" customHeight="false" outlineLevel="0" collapsed="false">
      <c r="A367" s="2"/>
      <c r="K367" s="2"/>
      <c r="L367" s="2"/>
      <c r="M367" s="2"/>
      <c r="N367" s="2"/>
      <c r="O367" s="12"/>
      <c r="P367" s="2"/>
      <c r="Q367" s="2"/>
      <c r="R367" s="2"/>
      <c r="T367" s="14"/>
      <c r="V367" s="15"/>
      <c r="W367" s="16"/>
      <c r="X367" s="14"/>
      <c r="AB367" s="4"/>
    </row>
    <row r="368" customFormat="false" ht="15.75" hidden="false" customHeight="false" outlineLevel="0" collapsed="false">
      <c r="A368" s="2"/>
      <c r="K368" s="2"/>
      <c r="L368" s="2"/>
      <c r="M368" s="2"/>
      <c r="N368" s="2"/>
      <c r="O368" s="12"/>
      <c r="P368" s="2"/>
      <c r="Q368" s="2"/>
      <c r="R368" s="2"/>
      <c r="T368" s="14"/>
      <c r="V368" s="15"/>
      <c r="W368" s="16"/>
      <c r="X368" s="14"/>
      <c r="AB368" s="4"/>
    </row>
    <row r="369" customFormat="false" ht="15.75" hidden="false" customHeight="false" outlineLevel="0" collapsed="false">
      <c r="A369" s="2"/>
      <c r="K369" s="2"/>
      <c r="L369" s="2"/>
      <c r="M369" s="2"/>
      <c r="N369" s="2"/>
      <c r="O369" s="12"/>
      <c r="P369" s="2"/>
      <c r="Q369" s="2"/>
      <c r="R369" s="2"/>
      <c r="T369" s="14"/>
      <c r="V369" s="15"/>
      <c r="W369" s="16"/>
      <c r="X369" s="14"/>
      <c r="AB369" s="4"/>
    </row>
    <row r="370" customFormat="false" ht="15.75" hidden="false" customHeight="false" outlineLevel="0" collapsed="false">
      <c r="A370" s="2"/>
      <c r="K370" s="2"/>
      <c r="L370" s="2"/>
      <c r="M370" s="2"/>
      <c r="N370" s="2"/>
      <c r="O370" s="12"/>
      <c r="P370" s="2"/>
      <c r="Q370" s="2"/>
      <c r="R370" s="2"/>
      <c r="T370" s="14"/>
      <c r="V370" s="15"/>
      <c r="W370" s="16"/>
      <c r="X370" s="14"/>
      <c r="AB370" s="4"/>
    </row>
    <row r="371" customFormat="false" ht="15.75" hidden="false" customHeight="false" outlineLevel="0" collapsed="false">
      <c r="A371" s="2"/>
      <c r="K371" s="2"/>
      <c r="L371" s="2"/>
      <c r="M371" s="2"/>
      <c r="N371" s="2"/>
      <c r="O371" s="12"/>
      <c r="P371" s="2"/>
      <c r="Q371" s="2"/>
      <c r="R371" s="2"/>
      <c r="T371" s="14"/>
      <c r="V371" s="15"/>
      <c r="W371" s="16"/>
      <c r="X371" s="14"/>
      <c r="AB371" s="4"/>
    </row>
    <row r="372" customFormat="false" ht="15.75" hidden="false" customHeight="false" outlineLevel="0" collapsed="false">
      <c r="A372" s="2"/>
      <c r="K372" s="2"/>
      <c r="L372" s="2"/>
      <c r="M372" s="2"/>
      <c r="N372" s="2"/>
      <c r="O372" s="12"/>
      <c r="P372" s="2"/>
      <c r="Q372" s="2"/>
      <c r="R372" s="2"/>
      <c r="T372" s="14"/>
      <c r="V372" s="15"/>
      <c r="W372" s="16"/>
      <c r="X372" s="14"/>
      <c r="AB372" s="4"/>
    </row>
    <row r="373" customFormat="false" ht="15.75" hidden="false" customHeight="false" outlineLevel="0" collapsed="false">
      <c r="A373" s="2"/>
      <c r="K373" s="2"/>
      <c r="L373" s="2"/>
      <c r="M373" s="2"/>
      <c r="N373" s="2"/>
      <c r="O373" s="12"/>
      <c r="P373" s="2"/>
      <c r="Q373" s="2"/>
      <c r="R373" s="2"/>
      <c r="T373" s="14"/>
      <c r="V373" s="15"/>
      <c r="W373" s="16"/>
      <c r="X373" s="14"/>
      <c r="AB373" s="4"/>
    </row>
    <row r="374" customFormat="false" ht="15.75" hidden="false" customHeight="false" outlineLevel="0" collapsed="false">
      <c r="A374" s="2"/>
      <c r="K374" s="2"/>
      <c r="L374" s="2"/>
      <c r="M374" s="2"/>
      <c r="N374" s="2"/>
      <c r="O374" s="12"/>
      <c r="P374" s="2"/>
      <c r="Q374" s="2"/>
      <c r="R374" s="2"/>
      <c r="T374" s="14"/>
      <c r="V374" s="15"/>
      <c r="W374" s="16"/>
      <c r="X374" s="14"/>
      <c r="AB374" s="4"/>
    </row>
    <row r="375" customFormat="false" ht="15.75" hidden="false" customHeight="false" outlineLevel="0" collapsed="false">
      <c r="A375" s="2"/>
      <c r="K375" s="2"/>
      <c r="L375" s="2"/>
      <c r="M375" s="2"/>
      <c r="N375" s="2"/>
      <c r="O375" s="12"/>
      <c r="P375" s="2"/>
      <c r="Q375" s="2"/>
      <c r="R375" s="2"/>
      <c r="T375" s="14"/>
      <c r="V375" s="15"/>
      <c r="W375" s="16"/>
      <c r="X375" s="14"/>
      <c r="AB375" s="4"/>
    </row>
    <row r="376" customFormat="false" ht="15.75" hidden="false" customHeight="false" outlineLevel="0" collapsed="false">
      <c r="A376" s="2"/>
      <c r="K376" s="2"/>
      <c r="L376" s="2"/>
      <c r="M376" s="2"/>
      <c r="N376" s="2"/>
      <c r="O376" s="12"/>
      <c r="P376" s="2"/>
      <c r="Q376" s="2"/>
      <c r="R376" s="2"/>
      <c r="T376" s="14"/>
      <c r="V376" s="15"/>
      <c r="W376" s="16"/>
      <c r="X376" s="14"/>
      <c r="AB376" s="4"/>
    </row>
    <row r="377" customFormat="false" ht="15.75" hidden="false" customHeight="false" outlineLevel="0" collapsed="false">
      <c r="A377" s="2"/>
      <c r="K377" s="2"/>
      <c r="L377" s="2"/>
      <c r="M377" s="2"/>
      <c r="N377" s="2"/>
      <c r="O377" s="12"/>
      <c r="P377" s="2"/>
      <c r="Q377" s="2"/>
      <c r="R377" s="2"/>
      <c r="T377" s="14"/>
      <c r="V377" s="15"/>
      <c r="W377" s="16"/>
      <c r="X377" s="14"/>
      <c r="AB377" s="4"/>
    </row>
    <row r="378" customFormat="false" ht="15.75" hidden="false" customHeight="false" outlineLevel="0" collapsed="false">
      <c r="A378" s="2"/>
      <c r="K378" s="2"/>
      <c r="L378" s="2"/>
      <c r="M378" s="2"/>
      <c r="N378" s="2"/>
      <c r="O378" s="12"/>
      <c r="P378" s="2"/>
      <c r="Q378" s="2"/>
      <c r="R378" s="2"/>
      <c r="T378" s="14"/>
      <c r="V378" s="15"/>
      <c r="W378" s="16"/>
      <c r="X378" s="14"/>
      <c r="AB378" s="4"/>
    </row>
    <row r="379" customFormat="false" ht="15.75" hidden="false" customHeight="false" outlineLevel="0" collapsed="false">
      <c r="A379" s="2"/>
      <c r="K379" s="2"/>
      <c r="L379" s="2"/>
      <c r="M379" s="2"/>
      <c r="N379" s="2"/>
      <c r="O379" s="12"/>
      <c r="P379" s="2"/>
      <c r="Q379" s="2"/>
      <c r="R379" s="2"/>
      <c r="T379" s="14"/>
      <c r="V379" s="15"/>
      <c r="W379" s="16"/>
      <c r="X379" s="14"/>
      <c r="AB379" s="4"/>
    </row>
    <row r="380" customFormat="false" ht="15.75" hidden="false" customHeight="false" outlineLevel="0" collapsed="false">
      <c r="A380" s="2"/>
      <c r="K380" s="2"/>
      <c r="L380" s="2"/>
      <c r="M380" s="2"/>
      <c r="N380" s="2"/>
      <c r="O380" s="12"/>
      <c r="P380" s="2"/>
      <c r="Q380" s="2"/>
      <c r="R380" s="2"/>
      <c r="T380" s="14"/>
      <c r="V380" s="15"/>
      <c r="W380" s="16"/>
      <c r="X380" s="14"/>
      <c r="AB380" s="4"/>
    </row>
    <row r="381" customFormat="false" ht="15.75" hidden="false" customHeight="false" outlineLevel="0" collapsed="false">
      <c r="A381" s="2"/>
      <c r="K381" s="2"/>
      <c r="L381" s="2"/>
      <c r="M381" s="2"/>
      <c r="N381" s="2"/>
      <c r="O381" s="12"/>
      <c r="P381" s="2"/>
      <c r="Q381" s="2"/>
      <c r="R381" s="2"/>
      <c r="T381" s="14"/>
      <c r="V381" s="15"/>
      <c r="W381" s="16"/>
      <c r="X381" s="14"/>
      <c r="AB381" s="4"/>
    </row>
    <row r="382" customFormat="false" ht="15.75" hidden="false" customHeight="false" outlineLevel="0" collapsed="false">
      <c r="A382" s="2"/>
      <c r="K382" s="2"/>
      <c r="L382" s="2"/>
      <c r="M382" s="2"/>
      <c r="N382" s="2"/>
      <c r="O382" s="12"/>
      <c r="P382" s="2"/>
      <c r="Q382" s="2"/>
      <c r="R382" s="2"/>
      <c r="T382" s="14"/>
      <c r="V382" s="15"/>
      <c r="W382" s="16"/>
      <c r="X382" s="14"/>
      <c r="AB382" s="4"/>
    </row>
    <row r="383" customFormat="false" ht="15.75" hidden="false" customHeight="false" outlineLevel="0" collapsed="false">
      <c r="A383" s="2"/>
      <c r="K383" s="2"/>
      <c r="L383" s="2"/>
      <c r="M383" s="2"/>
      <c r="N383" s="2"/>
      <c r="O383" s="12"/>
      <c r="P383" s="2"/>
      <c r="Q383" s="2"/>
      <c r="R383" s="2"/>
      <c r="T383" s="14"/>
      <c r="V383" s="15"/>
      <c r="W383" s="16"/>
      <c r="X383" s="14"/>
      <c r="AB383" s="4"/>
    </row>
    <row r="384" customFormat="false" ht="15.75" hidden="false" customHeight="false" outlineLevel="0" collapsed="false">
      <c r="A384" s="2"/>
      <c r="K384" s="2"/>
      <c r="L384" s="2"/>
      <c r="M384" s="2"/>
      <c r="N384" s="2"/>
      <c r="O384" s="12"/>
      <c r="P384" s="2"/>
      <c r="Q384" s="2"/>
      <c r="R384" s="2"/>
      <c r="T384" s="14"/>
      <c r="V384" s="15"/>
      <c r="W384" s="16"/>
      <c r="X384" s="14"/>
      <c r="AB384" s="4"/>
    </row>
    <row r="385" customFormat="false" ht="15.75" hidden="false" customHeight="false" outlineLevel="0" collapsed="false">
      <c r="A385" s="2"/>
      <c r="K385" s="2"/>
      <c r="L385" s="2"/>
      <c r="M385" s="2"/>
      <c r="N385" s="2"/>
      <c r="O385" s="12"/>
      <c r="P385" s="2"/>
      <c r="Q385" s="2"/>
      <c r="R385" s="2"/>
      <c r="T385" s="14"/>
      <c r="V385" s="15"/>
      <c r="W385" s="16"/>
      <c r="X385" s="14"/>
      <c r="AB385" s="4"/>
    </row>
    <row r="386" customFormat="false" ht="15.75" hidden="false" customHeight="false" outlineLevel="0" collapsed="false">
      <c r="A386" s="2"/>
      <c r="K386" s="2"/>
      <c r="L386" s="2"/>
      <c r="M386" s="2"/>
      <c r="N386" s="2"/>
      <c r="O386" s="12"/>
      <c r="P386" s="2"/>
      <c r="Q386" s="2"/>
      <c r="R386" s="2"/>
      <c r="T386" s="14"/>
      <c r="V386" s="15"/>
      <c r="W386" s="16"/>
      <c r="X386" s="14"/>
      <c r="AB386" s="4"/>
    </row>
    <row r="387" customFormat="false" ht="15.75" hidden="false" customHeight="false" outlineLevel="0" collapsed="false">
      <c r="A387" s="2"/>
      <c r="K387" s="2"/>
      <c r="L387" s="2"/>
      <c r="M387" s="2"/>
      <c r="N387" s="2"/>
      <c r="O387" s="12"/>
      <c r="P387" s="2"/>
      <c r="Q387" s="2"/>
      <c r="R387" s="2"/>
      <c r="T387" s="14"/>
      <c r="V387" s="15"/>
      <c r="W387" s="16"/>
      <c r="X387" s="14"/>
      <c r="AB387" s="4"/>
    </row>
    <row r="388" customFormat="false" ht="15.75" hidden="false" customHeight="false" outlineLevel="0" collapsed="false">
      <c r="A388" s="2"/>
      <c r="K388" s="2"/>
      <c r="L388" s="2"/>
      <c r="M388" s="2"/>
      <c r="N388" s="2"/>
      <c r="O388" s="12"/>
      <c r="P388" s="2"/>
      <c r="Q388" s="2"/>
      <c r="R388" s="2"/>
      <c r="T388" s="14"/>
      <c r="V388" s="15"/>
      <c r="W388" s="16"/>
      <c r="X388" s="14"/>
      <c r="AB388" s="4"/>
    </row>
    <row r="389" customFormat="false" ht="15.75" hidden="false" customHeight="false" outlineLevel="0" collapsed="false">
      <c r="A389" s="2"/>
      <c r="K389" s="2"/>
      <c r="L389" s="2"/>
      <c r="M389" s="2"/>
      <c r="N389" s="2"/>
      <c r="O389" s="12"/>
      <c r="P389" s="2"/>
      <c r="Q389" s="2"/>
      <c r="R389" s="2"/>
      <c r="T389" s="14"/>
      <c r="V389" s="15"/>
      <c r="W389" s="16"/>
      <c r="X389" s="14"/>
      <c r="AB389" s="4"/>
    </row>
    <row r="390" customFormat="false" ht="15.75" hidden="false" customHeight="false" outlineLevel="0" collapsed="false">
      <c r="A390" s="2"/>
      <c r="K390" s="2"/>
      <c r="L390" s="2"/>
      <c r="M390" s="2"/>
      <c r="N390" s="2"/>
      <c r="O390" s="12"/>
      <c r="P390" s="2"/>
      <c r="Q390" s="2"/>
      <c r="R390" s="2"/>
      <c r="T390" s="14"/>
      <c r="V390" s="15"/>
      <c r="W390" s="16"/>
      <c r="X390" s="14"/>
      <c r="AB390" s="4"/>
    </row>
    <row r="391" customFormat="false" ht="15.75" hidden="false" customHeight="false" outlineLevel="0" collapsed="false">
      <c r="A391" s="2"/>
      <c r="K391" s="2"/>
      <c r="L391" s="2"/>
      <c r="M391" s="2"/>
      <c r="N391" s="2"/>
      <c r="O391" s="12"/>
      <c r="P391" s="2"/>
      <c r="Q391" s="2"/>
      <c r="R391" s="2"/>
      <c r="T391" s="14"/>
      <c r="V391" s="15"/>
      <c r="W391" s="16"/>
      <c r="X391" s="14"/>
      <c r="AB391" s="4"/>
    </row>
    <row r="392" customFormat="false" ht="15.75" hidden="false" customHeight="false" outlineLevel="0" collapsed="false">
      <c r="A392" s="2"/>
      <c r="K392" s="2"/>
      <c r="L392" s="2"/>
      <c r="M392" s="2"/>
      <c r="N392" s="2"/>
      <c r="O392" s="12"/>
      <c r="P392" s="2"/>
      <c r="Q392" s="2"/>
      <c r="R392" s="2"/>
      <c r="T392" s="14"/>
      <c r="V392" s="15"/>
      <c r="W392" s="16"/>
      <c r="X392" s="14"/>
      <c r="AB392" s="4"/>
    </row>
    <row r="393" customFormat="false" ht="15.75" hidden="false" customHeight="false" outlineLevel="0" collapsed="false">
      <c r="A393" s="2"/>
      <c r="K393" s="2"/>
      <c r="L393" s="2"/>
      <c r="M393" s="2"/>
      <c r="N393" s="2"/>
      <c r="O393" s="12"/>
      <c r="P393" s="2"/>
      <c r="Q393" s="2"/>
      <c r="R393" s="2"/>
      <c r="T393" s="14"/>
      <c r="V393" s="15"/>
      <c r="W393" s="16"/>
      <c r="X393" s="14"/>
      <c r="AB393" s="4"/>
    </row>
    <row r="394" customFormat="false" ht="15.75" hidden="false" customHeight="false" outlineLevel="0" collapsed="false">
      <c r="A394" s="2"/>
      <c r="K394" s="2"/>
      <c r="L394" s="2"/>
      <c r="M394" s="2"/>
      <c r="N394" s="2"/>
      <c r="O394" s="12"/>
      <c r="P394" s="2"/>
      <c r="Q394" s="2"/>
      <c r="R394" s="2"/>
      <c r="T394" s="14"/>
      <c r="V394" s="15"/>
      <c r="W394" s="16"/>
      <c r="X394" s="14"/>
      <c r="AB394" s="4"/>
    </row>
    <row r="395" customFormat="false" ht="15.75" hidden="false" customHeight="false" outlineLevel="0" collapsed="false">
      <c r="A395" s="2"/>
      <c r="K395" s="2"/>
      <c r="L395" s="2"/>
      <c r="M395" s="2"/>
      <c r="N395" s="2"/>
      <c r="O395" s="12"/>
      <c r="P395" s="2"/>
      <c r="Q395" s="2"/>
      <c r="R395" s="2"/>
      <c r="T395" s="14"/>
      <c r="V395" s="15"/>
      <c r="W395" s="16"/>
      <c r="X395" s="14"/>
      <c r="AB395" s="4"/>
    </row>
    <row r="396" customFormat="false" ht="15.75" hidden="false" customHeight="false" outlineLevel="0" collapsed="false">
      <c r="A396" s="2"/>
      <c r="K396" s="2"/>
      <c r="L396" s="2"/>
      <c r="M396" s="2"/>
      <c r="N396" s="2"/>
      <c r="O396" s="12"/>
      <c r="P396" s="2"/>
      <c r="Q396" s="2"/>
      <c r="R396" s="2"/>
      <c r="T396" s="14"/>
      <c r="V396" s="15"/>
      <c r="W396" s="16"/>
      <c r="X396" s="14"/>
      <c r="AB396" s="4"/>
    </row>
    <row r="397" customFormat="false" ht="15.75" hidden="false" customHeight="false" outlineLevel="0" collapsed="false">
      <c r="A397" s="2"/>
      <c r="K397" s="2"/>
      <c r="L397" s="2"/>
      <c r="M397" s="2"/>
      <c r="N397" s="2"/>
      <c r="O397" s="12"/>
      <c r="P397" s="2"/>
      <c r="Q397" s="2"/>
      <c r="R397" s="2"/>
      <c r="T397" s="14"/>
      <c r="V397" s="15"/>
      <c r="W397" s="16"/>
      <c r="X397" s="14"/>
      <c r="AB397" s="4"/>
    </row>
    <row r="398" customFormat="false" ht="15.75" hidden="false" customHeight="false" outlineLevel="0" collapsed="false">
      <c r="A398" s="2"/>
      <c r="K398" s="2"/>
      <c r="L398" s="2"/>
      <c r="M398" s="2"/>
      <c r="N398" s="2"/>
      <c r="O398" s="12"/>
      <c r="P398" s="2"/>
      <c r="Q398" s="2"/>
      <c r="R398" s="2"/>
      <c r="T398" s="14"/>
      <c r="V398" s="15"/>
      <c r="W398" s="16"/>
      <c r="X398" s="14"/>
      <c r="AB398" s="4"/>
    </row>
    <row r="399" customFormat="false" ht="15.75" hidden="false" customHeight="false" outlineLevel="0" collapsed="false">
      <c r="A399" s="2"/>
      <c r="K399" s="2"/>
      <c r="L399" s="2"/>
      <c r="M399" s="2"/>
      <c r="N399" s="2"/>
      <c r="O399" s="12"/>
      <c r="P399" s="2"/>
      <c r="Q399" s="2"/>
      <c r="R399" s="2"/>
      <c r="T399" s="14"/>
      <c r="V399" s="15"/>
      <c r="W399" s="16"/>
      <c r="X399" s="14"/>
      <c r="AB399" s="4"/>
    </row>
    <row r="400" customFormat="false" ht="15.75" hidden="false" customHeight="false" outlineLevel="0" collapsed="false">
      <c r="A400" s="2"/>
      <c r="K400" s="2"/>
      <c r="L400" s="2"/>
      <c r="M400" s="2"/>
      <c r="N400" s="2"/>
      <c r="O400" s="12"/>
      <c r="P400" s="2"/>
      <c r="Q400" s="2"/>
      <c r="R400" s="2"/>
      <c r="T400" s="14"/>
      <c r="V400" s="15"/>
      <c r="W400" s="16"/>
      <c r="X400" s="14"/>
      <c r="AB400" s="4"/>
    </row>
    <row r="401" customFormat="false" ht="15.75" hidden="false" customHeight="false" outlineLevel="0" collapsed="false">
      <c r="A401" s="2"/>
      <c r="K401" s="2"/>
      <c r="L401" s="2"/>
      <c r="M401" s="2"/>
      <c r="N401" s="2"/>
      <c r="O401" s="12"/>
      <c r="P401" s="2"/>
      <c r="Q401" s="2"/>
      <c r="R401" s="2"/>
      <c r="T401" s="14"/>
      <c r="V401" s="15"/>
      <c r="W401" s="16"/>
      <c r="X401" s="14"/>
      <c r="AB401" s="4"/>
    </row>
    <row r="402" customFormat="false" ht="15.75" hidden="false" customHeight="false" outlineLevel="0" collapsed="false">
      <c r="A402" s="2"/>
      <c r="K402" s="2"/>
      <c r="L402" s="2"/>
      <c r="M402" s="2"/>
      <c r="N402" s="2"/>
      <c r="O402" s="12"/>
      <c r="P402" s="2"/>
      <c r="Q402" s="2"/>
      <c r="R402" s="2"/>
      <c r="T402" s="14"/>
      <c r="V402" s="15"/>
      <c r="W402" s="16"/>
      <c r="X402" s="14"/>
      <c r="AB402" s="4"/>
    </row>
    <row r="403" customFormat="false" ht="15.75" hidden="false" customHeight="false" outlineLevel="0" collapsed="false">
      <c r="A403" s="2"/>
      <c r="K403" s="2"/>
      <c r="L403" s="2"/>
      <c r="M403" s="2"/>
      <c r="N403" s="2"/>
      <c r="O403" s="12"/>
      <c r="P403" s="2"/>
      <c r="Q403" s="2"/>
      <c r="R403" s="2"/>
      <c r="T403" s="14"/>
      <c r="V403" s="15"/>
      <c r="W403" s="16"/>
      <c r="X403" s="14"/>
      <c r="AB403" s="4"/>
    </row>
    <row r="404" customFormat="false" ht="15.75" hidden="false" customHeight="false" outlineLevel="0" collapsed="false">
      <c r="A404" s="2"/>
      <c r="K404" s="2"/>
      <c r="L404" s="2"/>
      <c r="M404" s="2"/>
      <c r="N404" s="2"/>
      <c r="O404" s="12"/>
      <c r="P404" s="2"/>
      <c r="Q404" s="2"/>
      <c r="R404" s="2"/>
      <c r="T404" s="14"/>
      <c r="V404" s="15"/>
      <c r="W404" s="16"/>
      <c r="X404" s="14"/>
      <c r="AB404" s="4"/>
    </row>
    <row r="405" customFormat="false" ht="15.75" hidden="false" customHeight="false" outlineLevel="0" collapsed="false">
      <c r="A405" s="2"/>
      <c r="K405" s="2"/>
      <c r="L405" s="2"/>
      <c r="M405" s="2"/>
      <c r="N405" s="2"/>
      <c r="O405" s="12"/>
      <c r="P405" s="2"/>
      <c r="Q405" s="2"/>
      <c r="R405" s="2"/>
      <c r="T405" s="14"/>
      <c r="V405" s="15"/>
      <c r="W405" s="16"/>
      <c r="X405" s="14"/>
      <c r="AB405" s="4"/>
    </row>
    <row r="406" customFormat="false" ht="15.75" hidden="false" customHeight="false" outlineLevel="0" collapsed="false">
      <c r="A406" s="2"/>
      <c r="K406" s="2"/>
      <c r="L406" s="2"/>
      <c r="M406" s="2"/>
      <c r="N406" s="2"/>
      <c r="O406" s="12"/>
      <c r="P406" s="2"/>
      <c r="Q406" s="2"/>
      <c r="R406" s="2"/>
      <c r="T406" s="14"/>
      <c r="V406" s="15"/>
      <c r="W406" s="16"/>
      <c r="X406" s="14"/>
      <c r="AB406" s="4"/>
    </row>
    <row r="407" customFormat="false" ht="15.75" hidden="false" customHeight="false" outlineLevel="0" collapsed="false">
      <c r="A407" s="2"/>
      <c r="K407" s="2"/>
      <c r="L407" s="2"/>
      <c r="M407" s="2"/>
      <c r="N407" s="2"/>
      <c r="O407" s="12"/>
      <c r="P407" s="2"/>
      <c r="Q407" s="2"/>
      <c r="R407" s="2"/>
      <c r="T407" s="14"/>
      <c r="V407" s="15"/>
      <c r="W407" s="16"/>
      <c r="X407" s="14"/>
      <c r="AB407" s="4"/>
    </row>
    <row r="408" customFormat="false" ht="15.75" hidden="false" customHeight="false" outlineLevel="0" collapsed="false">
      <c r="A408" s="2"/>
      <c r="K408" s="2"/>
      <c r="L408" s="2"/>
      <c r="M408" s="2"/>
      <c r="N408" s="2"/>
      <c r="O408" s="12"/>
      <c r="P408" s="2"/>
      <c r="Q408" s="2"/>
      <c r="R408" s="2"/>
      <c r="T408" s="14"/>
      <c r="V408" s="15"/>
      <c r="W408" s="16"/>
      <c r="X408" s="14"/>
      <c r="AB408" s="4"/>
    </row>
    <row r="409" customFormat="false" ht="15.75" hidden="false" customHeight="false" outlineLevel="0" collapsed="false">
      <c r="A409" s="2"/>
      <c r="K409" s="2"/>
      <c r="L409" s="2"/>
      <c r="M409" s="2"/>
      <c r="N409" s="2"/>
      <c r="O409" s="12"/>
      <c r="P409" s="2"/>
      <c r="Q409" s="2"/>
      <c r="R409" s="2"/>
      <c r="T409" s="14"/>
      <c r="V409" s="15"/>
      <c r="W409" s="16"/>
      <c r="X409" s="14"/>
      <c r="AB409" s="4"/>
    </row>
    <row r="410" customFormat="false" ht="15.75" hidden="false" customHeight="false" outlineLevel="0" collapsed="false">
      <c r="A410" s="2"/>
      <c r="K410" s="2"/>
      <c r="L410" s="2"/>
      <c r="M410" s="2"/>
      <c r="N410" s="2"/>
      <c r="O410" s="12"/>
      <c r="P410" s="2"/>
      <c r="Q410" s="2"/>
      <c r="R410" s="2"/>
      <c r="T410" s="14"/>
      <c r="V410" s="15"/>
      <c r="W410" s="16"/>
      <c r="X410" s="14"/>
      <c r="AB410" s="4"/>
    </row>
    <row r="411" customFormat="false" ht="15.75" hidden="false" customHeight="false" outlineLevel="0" collapsed="false">
      <c r="A411" s="2"/>
      <c r="K411" s="2"/>
      <c r="L411" s="2"/>
      <c r="M411" s="2"/>
      <c r="N411" s="2"/>
      <c r="O411" s="12"/>
      <c r="P411" s="2"/>
      <c r="Q411" s="2"/>
      <c r="R411" s="2"/>
      <c r="T411" s="14"/>
      <c r="V411" s="15"/>
      <c r="W411" s="16"/>
      <c r="X411" s="14"/>
      <c r="AB411" s="4"/>
    </row>
    <row r="412" customFormat="false" ht="15.75" hidden="false" customHeight="false" outlineLevel="0" collapsed="false">
      <c r="A412" s="2"/>
      <c r="K412" s="2"/>
      <c r="L412" s="2"/>
      <c r="M412" s="2"/>
      <c r="N412" s="2"/>
      <c r="O412" s="12"/>
      <c r="P412" s="2"/>
      <c r="Q412" s="2"/>
      <c r="R412" s="2"/>
      <c r="T412" s="14"/>
      <c r="V412" s="15"/>
      <c r="W412" s="16"/>
      <c r="X412" s="14"/>
      <c r="AB412" s="4"/>
    </row>
    <row r="413" customFormat="false" ht="15.75" hidden="false" customHeight="false" outlineLevel="0" collapsed="false">
      <c r="A413" s="2"/>
      <c r="K413" s="2"/>
      <c r="L413" s="2"/>
      <c r="M413" s="2"/>
      <c r="N413" s="2"/>
      <c r="O413" s="12"/>
      <c r="P413" s="2"/>
      <c r="Q413" s="2"/>
      <c r="R413" s="2"/>
      <c r="T413" s="14"/>
      <c r="V413" s="15"/>
      <c r="W413" s="16"/>
      <c r="X413" s="14"/>
      <c r="AB413" s="4"/>
    </row>
    <row r="414" customFormat="false" ht="15.75" hidden="false" customHeight="false" outlineLevel="0" collapsed="false">
      <c r="A414" s="2"/>
      <c r="K414" s="2"/>
      <c r="L414" s="2"/>
      <c r="M414" s="2"/>
      <c r="N414" s="2"/>
      <c r="O414" s="12"/>
      <c r="P414" s="2"/>
      <c r="Q414" s="2"/>
      <c r="R414" s="2"/>
      <c r="T414" s="14"/>
      <c r="V414" s="15"/>
      <c r="W414" s="16"/>
      <c r="X414" s="14"/>
      <c r="AB414" s="4"/>
    </row>
    <row r="415" customFormat="false" ht="15.75" hidden="false" customHeight="false" outlineLevel="0" collapsed="false">
      <c r="A415" s="2"/>
      <c r="K415" s="2"/>
      <c r="L415" s="2"/>
      <c r="M415" s="2"/>
      <c r="N415" s="2"/>
      <c r="O415" s="12"/>
      <c r="P415" s="2"/>
      <c r="Q415" s="2"/>
      <c r="R415" s="2"/>
      <c r="T415" s="14"/>
      <c r="V415" s="15"/>
      <c r="W415" s="16"/>
      <c r="X415" s="14"/>
      <c r="AB415" s="4"/>
    </row>
    <row r="416" customFormat="false" ht="15.75" hidden="false" customHeight="false" outlineLevel="0" collapsed="false">
      <c r="A416" s="2"/>
      <c r="K416" s="2"/>
      <c r="L416" s="2"/>
      <c r="M416" s="2"/>
      <c r="N416" s="2"/>
      <c r="O416" s="12"/>
      <c r="P416" s="2"/>
      <c r="Q416" s="2"/>
      <c r="R416" s="2"/>
      <c r="T416" s="14"/>
      <c r="V416" s="15"/>
      <c r="W416" s="16"/>
      <c r="X416" s="14"/>
      <c r="AB416" s="4"/>
    </row>
    <row r="417" customFormat="false" ht="15.75" hidden="false" customHeight="false" outlineLevel="0" collapsed="false">
      <c r="A417" s="2"/>
      <c r="K417" s="2"/>
      <c r="L417" s="2"/>
      <c r="M417" s="2"/>
      <c r="N417" s="2"/>
      <c r="O417" s="12"/>
      <c r="P417" s="2"/>
      <c r="Q417" s="2"/>
      <c r="R417" s="2"/>
      <c r="T417" s="14"/>
      <c r="V417" s="15"/>
      <c r="W417" s="16"/>
      <c r="X417" s="14"/>
      <c r="AB417" s="4"/>
    </row>
    <row r="418" customFormat="false" ht="15.75" hidden="false" customHeight="false" outlineLevel="0" collapsed="false">
      <c r="A418" s="2"/>
      <c r="K418" s="2"/>
      <c r="L418" s="2"/>
      <c r="M418" s="2"/>
      <c r="N418" s="2"/>
      <c r="O418" s="12"/>
      <c r="P418" s="2"/>
      <c r="Q418" s="2"/>
      <c r="R418" s="2"/>
      <c r="T418" s="14"/>
      <c r="V418" s="15"/>
      <c r="W418" s="16"/>
      <c r="X418" s="14"/>
      <c r="AB418" s="4"/>
    </row>
    <row r="419" customFormat="false" ht="15.75" hidden="false" customHeight="false" outlineLevel="0" collapsed="false">
      <c r="A419" s="2"/>
      <c r="K419" s="2"/>
      <c r="L419" s="2"/>
      <c r="M419" s="2"/>
      <c r="N419" s="2"/>
      <c r="O419" s="12"/>
      <c r="P419" s="2"/>
      <c r="Q419" s="2"/>
      <c r="R419" s="2"/>
      <c r="T419" s="14"/>
      <c r="V419" s="15"/>
      <c r="W419" s="16"/>
      <c r="X419" s="14"/>
      <c r="AB419" s="4"/>
    </row>
    <row r="420" customFormat="false" ht="15.75" hidden="false" customHeight="false" outlineLevel="0" collapsed="false">
      <c r="A420" s="2"/>
      <c r="K420" s="2"/>
      <c r="L420" s="2"/>
      <c r="M420" s="2"/>
      <c r="N420" s="2"/>
      <c r="O420" s="12"/>
      <c r="P420" s="2"/>
      <c r="Q420" s="2"/>
      <c r="R420" s="2"/>
      <c r="T420" s="14"/>
      <c r="V420" s="15"/>
      <c r="W420" s="16"/>
      <c r="X420" s="14"/>
      <c r="AB420" s="4"/>
    </row>
    <row r="421" customFormat="false" ht="15.75" hidden="false" customHeight="false" outlineLevel="0" collapsed="false">
      <c r="A421" s="2"/>
      <c r="K421" s="2"/>
      <c r="L421" s="2"/>
      <c r="M421" s="2"/>
      <c r="N421" s="2"/>
      <c r="O421" s="12"/>
      <c r="P421" s="2"/>
      <c r="Q421" s="2"/>
      <c r="R421" s="2"/>
      <c r="T421" s="14"/>
      <c r="V421" s="15"/>
      <c r="W421" s="16"/>
      <c r="X421" s="14"/>
      <c r="AB421" s="4"/>
    </row>
    <row r="422" customFormat="false" ht="15.75" hidden="false" customHeight="false" outlineLevel="0" collapsed="false">
      <c r="A422" s="2"/>
      <c r="K422" s="2"/>
      <c r="L422" s="2"/>
      <c r="M422" s="2"/>
      <c r="N422" s="2"/>
      <c r="O422" s="12"/>
      <c r="P422" s="2"/>
      <c r="Q422" s="2"/>
      <c r="R422" s="2"/>
      <c r="T422" s="14"/>
      <c r="V422" s="15"/>
      <c r="W422" s="16"/>
      <c r="X422" s="14"/>
      <c r="AB422" s="4"/>
    </row>
    <row r="423" customFormat="false" ht="15.75" hidden="false" customHeight="false" outlineLevel="0" collapsed="false">
      <c r="A423" s="2"/>
      <c r="K423" s="2"/>
      <c r="L423" s="2"/>
      <c r="M423" s="2"/>
      <c r="N423" s="2"/>
      <c r="O423" s="12"/>
      <c r="P423" s="2"/>
      <c r="Q423" s="2"/>
      <c r="R423" s="2"/>
      <c r="T423" s="14"/>
      <c r="V423" s="15"/>
      <c r="W423" s="16"/>
      <c r="X423" s="14"/>
      <c r="AB423" s="4"/>
    </row>
    <row r="424" customFormat="false" ht="15.75" hidden="false" customHeight="false" outlineLevel="0" collapsed="false">
      <c r="A424" s="2"/>
      <c r="K424" s="2"/>
      <c r="L424" s="2"/>
      <c r="M424" s="2"/>
      <c r="N424" s="2"/>
      <c r="O424" s="12"/>
      <c r="P424" s="2"/>
      <c r="Q424" s="2"/>
      <c r="R424" s="2"/>
      <c r="T424" s="14"/>
      <c r="V424" s="15"/>
      <c r="W424" s="16"/>
      <c r="X424" s="14"/>
      <c r="AB424" s="4"/>
    </row>
    <row r="425" customFormat="false" ht="15.75" hidden="false" customHeight="false" outlineLevel="0" collapsed="false">
      <c r="A425" s="2"/>
      <c r="K425" s="2"/>
      <c r="L425" s="2"/>
      <c r="M425" s="2"/>
      <c r="N425" s="2"/>
      <c r="O425" s="12"/>
      <c r="P425" s="2"/>
      <c r="Q425" s="2"/>
      <c r="R425" s="2"/>
      <c r="T425" s="14"/>
      <c r="V425" s="15"/>
      <c r="W425" s="16"/>
      <c r="X425" s="14"/>
      <c r="AB425" s="4"/>
    </row>
    <row r="426" customFormat="false" ht="15.75" hidden="false" customHeight="false" outlineLevel="0" collapsed="false">
      <c r="A426" s="2"/>
      <c r="K426" s="2"/>
      <c r="L426" s="2"/>
      <c r="M426" s="2"/>
      <c r="N426" s="2"/>
      <c r="O426" s="12"/>
      <c r="P426" s="2"/>
      <c r="Q426" s="2"/>
      <c r="R426" s="2"/>
      <c r="T426" s="14"/>
      <c r="V426" s="15"/>
      <c r="W426" s="16"/>
      <c r="X426" s="14"/>
      <c r="AB426" s="4"/>
    </row>
    <row r="427" customFormat="false" ht="15.75" hidden="false" customHeight="false" outlineLevel="0" collapsed="false">
      <c r="A427" s="2"/>
      <c r="K427" s="2"/>
      <c r="L427" s="2"/>
      <c r="M427" s="2"/>
      <c r="N427" s="2"/>
      <c r="O427" s="12"/>
      <c r="P427" s="2"/>
      <c r="Q427" s="2"/>
      <c r="R427" s="2"/>
      <c r="T427" s="14"/>
      <c r="V427" s="15"/>
      <c r="W427" s="16"/>
      <c r="X427" s="14"/>
      <c r="AB427" s="4"/>
    </row>
    <row r="428" customFormat="false" ht="15.75" hidden="false" customHeight="false" outlineLevel="0" collapsed="false">
      <c r="A428" s="2"/>
      <c r="K428" s="2"/>
      <c r="L428" s="2"/>
      <c r="M428" s="2"/>
      <c r="N428" s="2"/>
      <c r="O428" s="12"/>
      <c r="P428" s="2"/>
      <c r="Q428" s="2"/>
      <c r="R428" s="2"/>
      <c r="T428" s="14"/>
      <c r="V428" s="15"/>
      <c r="W428" s="16"/>
      <c r="X428" s="14"/>
      <c r="AB428" s="4"/>
    </row>
    <row r="429" customFormat="false" ht="15.75" hidden="false" customHeight="false" outlineLevel="0" collapsed="false">
      <c r="A429" s="2"/>
      <c r="K429" s="2"/>
      <c r="L429" s="2"/>
      <c r="M429" s="2"/>
      <c r="N429" s="2"/>
      <c r="O429" s="12"/>
      <c r="P429" s="2"/>
      <c r="Q429" s="2"/>
      <c r="R429" s="2"/>
      <c r="T429" s="14"/>
      <c r="V429" s="15"/>
      <c r="W429" s="16"/>
      <c r="X429" s="14"/>
      <c r="AB429" s="4"/>
    </row>
    <row r="430" customFormat="false" ht="15.75" hidden="false" customHeight="false" outlineLevel="0" collapsed="false">
      <c r="A430" s="2"/>
      <c r="K430" s="2"/>
      <c r="L430" s="2"/>
      <c r="M430" s="2"/>
      <c r="N430" s="2"/>
      <c r="O430" s="12"/>
      <c r="P430" s="2"/>
      <c r="Q430" s="2"/>
      <c r="R430" s="2"/>
      <c r="T430" s="14"/>
      <c r="V430" s="15"/>
      <c r="W430" s="16"/>
      <c r="X430" s="14"/>
      <c r="AB430" s="4"/>
    </row>
    <row r="431" customFormat="false" ht="15.75" hidden="false" customHeight="false" outlineLevel="0" collapsed="false">
      <c r="A431" s="2"/>
      <c r="K431" s="2"/>
      <c r="L431" s="2"/>
      <c r="M431" s="2"/>
      <c r="N431" s="2"/>
      <c r="O431" s="12"/>
      <c r="P431" s="2"/>
      <c r="Q431" s="2"/>
      <c r="R431" s="2"/>
      <c r="T431" s="14"/>
      <c r="V431" s="15"/>
      <c r="W431" s="16"/>
      <c r="X431" s="14"/>
      <c r="AB431" s="4"/>
    </row>
    <row r="432" customFormat="false" ht="15.75" hidden="false" customHeight="false" outlineLevel="0" collapsed="false">
      <c r="A432" s="2"/>
      <c r="K432" s="2"/>
      <c r="L432" s="2"/>
      <c r="M432" s="2"/>
      <c r="N432" s="2"/>
      <c r="O432" s="12"/>
      <c r="P432" s="2"/>
      <c r="Q432" s="2"/>
      <c r="R432" s="2"/>
      <c r="T432" s="14"/>
      <c r="V432" s="15"/>
      <c r="W432" s="16"/>
      <c r="X432" s="14"/>
      <c r="AB432" s="4"/>
    </row>
    <row r="433" customFormat="false" ht="15.75" hidden="false" customHeight="false" outlineLevel="0" collapsed="false">
      <c r="A433" s="2"/>
      <c r="K433" s="2"/>
      <c r="L433" s="2"/>
      <c r="M433" s="2"/>
      <c r="N433" s="2"/>
      <c r="O433" s="12"/>
      <c r="P433" s="2"/>
      <c r="Q433" s="2"/>
      <c r="R433" s="2"/>
      <c r="T433" s="14"/>
      <c r="V433" s="15"/>
      <c r="W433" s="16"/>
      <c r="X433" s="14"/>
      <c r="AB433" s="4"/>
    </row>
    <row r="434" customFormat="false" ht="15.75" hidden="false" customHeight="false" outlineLevel="0" collapsed="false">
      <c r="A434" s="2"/>
      <c r="K434" s="2"/>
      <c r="L434" s="2"/>
      <c r="M434" s="2"/>
      <c r="N434" s="2"/>
      <c r="O434" s="12"/>
      <c r="P434" s="2"/>
      <c r="Q434" s="2"/>
      <c r="R434" s="2"/>
      <c r="T434" s="14"/>
      <c r="V434" s="15"/>
      <c r="W434" s="16"/>
      <c r="X434" s="14"/>
      <c r="AB434" s="4"/>
    </row>
    <row r="435" customFormat="false" ht="15.75" hidden="false" customHeight="false" outlineLevel="0" collapsed="false">
      <c r="A435" s="2"/>
      <c r="K435" s="2"/>
      <c r="L435" s="2"/>
      <c r="M435" s="2"/>
      <c r="N435" s="2"/>
      <c r="O435" s="12"/>
      <c r="P435" s="2"/>
      <c r="Q435" s="2"/>
      <c r="R435" s="2"/>
      <c r="T435" s="14"/>
      <c r="V435" s="15"/>
      <c r="W435" s="16"/>
      <c r="X435" s="14"/>
      <c r="AB435" s="4"/>
    </row>
    <row r="436" customFormat="false" ht="15.75" hidden="false" customHeight="false" outlineLevel="0" collapsed="false">
      <c r="A436" s="2"/>
      <c r="K436" s="2"/>
      <c r="L436" s="2"/>
      <c r="M436" s="2"/>
      <c r="N436" s="2"/>
      <c r="O436" s="12"/>
      <c r="P436" s="2"/>
      <c r="Q436" s="2"/>
      <c r="R436" s="2"/>
      <c r="T436" s="14"/>
      <c r="V436" s="15"/>
      <c r="W436" s="16"/>
      <c r="X436" s="14"/>
      <c r="AB436" s="4"/>
    </row>
    <row r="437" customFormat="false" ht="15.75" hidden="false" customHeight="false" outlineLevel="0" collapsed="false">
      <c r="A437" s="2"/>
      <c r="K437" s="2"/>
      <c r="L437" s="2"/>
      <c r="M437" s="2"/>
      <c r="N437" s="2"/>
      <c r="O437" s="12"/>
      <c r="P437" s="2"/>
      <c r="Q437" s="2"/>
      <c r="R437" s="2"/>
      <c r="T437" s="14"/>
      <c r="V437" s="15"/>
      <c r="W437" s="16"/>
      <c r="X437" s="14"/>
      <c r="AB437" s="4"/>
    </row>
    <row r="438" customFormat="false" ht="15.75" hidden="false" customHeight="false" outlineLevel="0" collapsed="false">
      <c r="A438" s="2"/>
      <c r="K438" s="2"/>
      <c r="L438" s="2"/>
      <c r="M438" s="2"/>
      <c r="N438" s="2"/>
      <c r="O438" s="12"/>
      <c r="P438" s="2"/>
      <c r="Q438" s="2"/>
      <c r="R438" s="2"/>
      <c r="T438" s="14"/>
      <c r="V438" s="15"/>
      <c r="W438" s="16"/>
      <c r="X438" s="14"/>
      <c r="AB438" s="4"/>
    </row>
    <row r="439" customFormat="false" ht="15.75" hidden="false" customHeight="false" outlineLevel="0" collapsed="false">
      <c r="A439" s="2"/>
      <c r="K439" s="2"/>
      <c r="L439" s="2"/>
      <c r="M439" s="2"/>
      <c r="N439" s="2"/>
      <c r="O439" s="12"/>
      <c r="P439" s="2"/>
      <c r="Q439" s="2"/>
      <c r="R439" s="2"/>
      <c r="T439" s="14"/>
      <c r="V439" s="15"/>
      <c r="W439" s="16"/>
      <c r="X439" s="14"/>
      <c r="AB439" s="4"/>
    </row>
    <row r="440" customFormat="false" ht="15.75" hidden="false" customHeight="false" outlineLevel="0" collapsed="false">
      <c r="A440" s="2"/>
      <c r="K440" s="2"/>
      <c r="L440" s="2"/>
      <c r="M440" s="2"/>
      <c r="N440" s="2"/>
      <c r="O440" s="12"/>
      <c r="P440" s="2"/>
      <c r="Q440" s="2"/>
      <c r="R440" s="2"/>
      <c r="T440" s="14"/>
      <c r="V440" s="15"/>
      <c r="W440" s="16"/>
      <c r="X440" s="14"/>
      <c r="AB440" s="4"/>
    </row>
    <row r="441" customFormat="false" ht="15.75" hidden="false" customHeight="false" outlineLevel="0" collapsed="false">
      <c r="A441" s="2"/>
      <c r="K441" s="2"/>
      <c r="L441" s="2"/>
      <c r="M441" s="2"/>
      <c r="N441" s="2"/>
      <c r="O441" s="12"/>
      <c r="P441" s="2"/>
      <c r="Q441" s="2"/>
      <c r="R441" s="2"/>
      <c r="T441" s="14"/>
      <c r="V441" s="15"/>
      <c r="W441" s="16"/>
      <c r="X441" s="14"/>
      <c r="AB441" s="4"/>
    </row>
    <row r="442" customFormat="false" ht="15.75" hidden="false" customHeight="false" outlineLevel="0" collapsed="false">
      <c r="A442" s="2"/>
      <c r="K442" s="2"/>
      <c r="L442" s="2"/>
      <c r="M442" s="2"/>
      <c r="N442" s="2"/>
      <c r="O442" s="12"/>
      <c r="P442" s="2"/>
      <c r="Q442" s="2"/>
      <c r="R442" s="2"/>
      <c r="T442" s="14"/>
      <c r="V442" s="15"/>
      <c r="W442" s="16"/>
      <c r="X442" s="14"/>
      <c r="AB442" s="4"/>
    </row>
    <row r="443" customFormat="false" ht="15.75" hidden="false" customHeight="false" outlineLevel="0" collapsed="false">
      <c r="A443" s="2"/>
      <c r="K443" s="2"/>
      <c r="L443" s="2"/>
      <c r="M443" s="2"/>
      <c r="N443" s="2"/>
      <c r="O443" s="12"/>
      <c r="P443" s="2"/>
      <c r="Q443" s="2"/>
      <c r="R443" s="2"/>
      <c r="T443" s="14"/>
      <c r="V443" s="15"/>
      <c r="W443" s="16"/>
      <c r="X443" s="14"/>
      <c r="AB443" s="4"/>
    </row>
    <row r="444" customFormat="false" ht="15.75" hidden="false" customHeight="false" outlineLevel="0" collapsed="false">
      <c r="A444" s="2"/>
      <c r="K444" s="2"/>
      <c r="L444" s="2"/>
      <c r="M444" s="2"/>
      <c r="N444" s="2"/>
      <c r="O444" s="12"/>
      <c r="P444" s="2"/>
      <c r="Q444" s="2"/>
      <c r="R444" s="2"/>
      <c r="T444" s="14"/>
      <c r="V444" s="15"/>
      <c r="W444" s="16"/>
      <c r="X444" s="14"/>
      <c r="AB444" s="4"/>
    </row>
    <row r="445" customFormat="false" ht="15.75" hidden="false" customHeight="false" outlineLevel="0" collapsed="false">
      <c r="A445" s="2"/>
      <c r="K445" s="2"/>
      <c r="L445" s="2"/>
      <c r="M445" s="2"/>
      <c r="N445" s="2"/>
      <c r="O445" s="12"/>
      <c r="P445" s="2"/>
      <c r="Q445" s="2"/>
      <c r="R445" s="2"/>
      <c r="T445" s="14"/>
      <c r="V445" s="15"/>
      <c r="W445" s="16"/>
      <c r="X445" s="14"/>
      <c r="AB445" s="4"/>
    </row>
    <row r="446" customFormat="false" ht="15.75" hidden="false" customHeight="false" outlineLevel="0" collapsed="false">
      <c r="A446" s="2"/>
      <c r="K446" s="2"/>
      <c r="L446" s="2"/>
      <c r="M446" s="2"/>
      <c r="N446" s="2"/>
      <c r="O446" s="12"/>
      <c r="P446" s="2"/>
      <c r="Q446" s="2"/>
      <c r="R446" s="2"/>
      <c r="T446" s="14"/>
      <c r="V446" s="15"/>
      <c r="W446" s="16"/>
      <c r="X446" s="14"/>
      <c r="AB446" s="4"/>
    </row>
    <row r="447" customFormat="false" ht="15.75" hidden="false" customHeight="false" outlineLevel="0" collapsed="false">
      <c r="A447" s="2"/>
      <c r="K447" s="2"/>
      <c r="L447" s="2"/>
      <c r="M447" s="2"/>
      <c r="N447" s="2"/>
      <c r="O447" s="12"/>
      <c r="P447" s="2"/>
      <c r="Q447" s="2"/>
      <c r="R447" s="2"/>
      <c r="T447" s="14"/>
      <c r="V447" s="15"/>
      <c r="W447" s="16"/>
      <c r="X447" s="14"/>
      <c r="AB447" s="4"/>
    </row>
    <row r="448" customFormat="false" ht="15.75" hidden="false" customHeight="false" outlineLevel="0" collapsed="false">
      <c r="A448" s="2"/>
      <c r="K448" s="2"/>
      <c r="L448" s="2"/>
      <c r="M448" s="2"/>
      <c r="N448" s="2"/>
      <c r="O448" s="12"/>
      <c r="P448" s="2"/>
      <c r="Q448" s="2"/>
      <c r="R448" s="2"/>
      <c r="T448" s="14"/>
      <c r="V448" s="15"/>
      <c r="W448" s="16"/>
      <c r="X448" s="14"/>
      <c r="AB448" s="4"/>
    </row>
    <row r="449" customFormat="false" ht="15.75" hidden="false" customHeight="false" outlineLevel="0" collapsed="false">
      <c r="A449" s="2"/>
      <c r="K449" s="2"/>
      <c r="L449" s="2"/>
      <c r="M449" s="2"/>
      <c r="N449" s="2"/>
      <c r="O449" s="12"/>
      <c r="P449" s="2"/>
      <c r="Q449" s="2"/>
      <c r="R449" s="2"/>
      <c r="T449" s="14"/>
      <c r="V449" s="15"/>
      <c r="W449" s="16"/>
      <c r="X449" s="14"/>
      <c r="AB449" s="4"/>
    </row>
    <row r="450" customFormat="false" ht="15.75" hidden="false" customHeight="false" outlineLevel="0" collapsed="false">
      <c r="A450" s="2"/>
      <c r="K450" s="2"/>
      <c r="L450" s="2"/>
      <c r="M450" s="2"/>
      <c r="N450" s="2"/>
      <c r="O450" s="12"/>
      <c r="P450" s="2"/>
      <c r="Q450" s="2"/>
      <c r="R450" s="2"/>
      <c r="T450" s="14"/>
      <c r="V450" s="15"/>
      <c r="W450" s="16"/>
      <c r="X450" s="14"/>
      <c r="AB450" s="4"/>
    </row>
    <row r="451" customFormat="false" ht="15.75" hidden="false" customHeight="false" outlineLevel="0" collapsed="false">
      <c r="A451" s="2"/>
      <c r="K451" s="2"/>
      <c r="L451" s="2"/>
      <c r="M451" s="2"/>
      <c r="N451" s="2"/>
      <c r="O451" s="12"/>
      <c r="P451" s="2"/>
      <c r="Q451" s="2"/>
      <c r="R451" s="2"/>
      <c r="T451" s="14"/>
      <c r="V451" s="15"/>
      <c r="W451" s="16"/>
      <c r="X451" s="14"/>
      <c r="AB451" s="4"/>
    </row>
    <row r="452" customFormat="false" ht="15.75" hidden="false" customHeight="false" outlineLevel="0" collapsed="false">
      <c r="A452" s="2"/>
      <c r="K452" s="2"/>
      <c r="L452" s="2"/>
      <c r="M452" s="2"/>
      <c r="N452" s="2"/>
      <c r="O452" s="12"/>
      <c r="P452" s="2"/>
      <c r="Q452" s="2"/>
      <c r="R452" s="2"/>
      <c r="T452" s="14"/>
      <c r="V452" s="15"/>
      <c r="W452" s="16"/>
      <c r="X452" s="14"/>
      <c r="AB452" s="4"/>
    </row>
    <row r="453" customFormat="false" ht="15.75" hidden="false" customHeight="false" outlineLevel="0" collapsed="false">
      <c r="A453" s="2"/>
      <c r="K453" s="2"/>
      <c r="L453" s="2"/>
      <c r="M453" s="2"/>
      <c r="N453" s="2"/>
      <c r="O453" s="12"/>
      <c r="P453" s="2"/>
      <c r="Q453" s="2"/>
      <c r="R453" s="2"/>
      <c r="T453" s="14"/>
      <c r="V453" s="15"/>
      <c r="W453" s="16"/>
      <c r="X453" s="14"/>
      <c r="AB453" s="4"/>
    </row>
    <row r="454" customFormat="false" ht="15.75" hidden="false" customHeight="false" outlineLevel="0" collapsed="false">
      <c r="A454" s="2"/>
      <c r="K454" s="2"/>
      <c r="L454" s="2"/>
      <c r="M454" s="2"/>
      <c r="N454" s="2"/>
      <c r="O454" s="12"/>
      <c r="P454" s="2"/>
      <c r="Q454" s="2"/>
      <c r="R454" s="2"/>
      <c r="T454" s="14"/>
      <c r="V454" s="15"/>
      <c r="W454" s="16"/>
      <c r="X454" s="14"/>
      <c r="AB454" s="4"/>
    </row>
    <row r="455" customFormat="false" ht="15.75" hidden="false" customHeight="false" outlineLevel="0" collapsed="false">
      <c r="A455" s="2"/>
      <c r="K455" s="2"/>
      <c r="L455" s="2"/>
      <c r="M455" s="2"/>
      <c r="N455" s="2"/>
      <c r="O455" s="12"/>
      <c r="P455" s="2"/>
      <c r="Q455" s="2"/>
      <c r="R455" s="2"/>
      <c r="T455" s="14"/>
      <c r="V455" s="15"/>
      <c r="W455" s="16"/>
      <c r="X455" s="14"/>
      <c r="AB455" s="4"/>
    </row>
    <row r="456" customFormat="false" ht="15.75" hidden="false" customHeight="false" outlineLevel="0" collapsed="false">
      <c r="A456" s="2"/>
      <c r="K456" s="2"/>
      <c r="L456" s="2"/>
      <c r="M456" s="2"/>
      <c r="N456" s="2"/>
      <c r="O456" s="12"/>
      <c r="P456" s="2"/>
      <c r="Q456" s="2"/>
      <c r="R456" s="2"/>
      <c r="T456" s="14"/>
      <c r="V456" s="15"/>
      <c r="W456" s="16"/>
      <c r="X456" s="14"/>
      <c r="AB456" s="4"/>
    </row>
    <row r="457" customFormat="false" ht="15.75" hidden="false" customHeight="false" outlineLevel="0" collapsed="false">
      <c r="A457" s="2"/>
      <c r="K457" s="2"/>
      <c r="L457" s="2"/>
      <c r="M457" s="2"/>
      <c r="N457" s="2"/>
      <c r="O457" s="12"/>
      <c r="P457" s="2"/>
      <c r="Q457" s="2"/>
      <c r="R457" s="2"/>
      <c r="T457" s="14"/>
      <c r="V457" s="15"/>
      <c r="W457" s="16"/>
      <c r="X457" s="14"/>
      <c r="AB457" s="4"/>
    </row>
    <row r="458" customFormat="false" ht="15.75" hidden="false" customHeight="false" outlineLevel="0" collapsed="false">
      <c r="A458" s="2"/>
      <c r="K458" s="2"/>
      <c r="L458" s="2"/>
      <c r="M458" s="2"/>
      <c r="N458" s="2"/>
      <c r="O458" s="12"/>
      <c r="P458" s="2"/>
      <c r="Q458" s="2"/>
      <c r="R458" s="2"/>
      <c r="T458" s="14"/>
      <c r="V458" s="15"/>
      <c r="W458" s="16"/>
      <c r="X458" s="14"/>
      <c r="AB458" s="4"/>
    </row>
    <row r="459" customFormat="false" ht="15.75" hidden="false" customHeight="false" outlineLevel="0" collapsed="false">
      <c r="A459" s="2"/>
      <c r="K459" s="2"/>
      <c r="L459" s="2"/>
      <c r="M459" s="2"/>
      <c r="N459" s="2"/>
      <c r="O459" s="12"/>
      <c r="P459" s="2"/>
      <c r="Q459" s="2"/>
      <c r="R459" s="2"/>
      <c r="T459" s="14"/>
      <c r="V459" s="15"/>
      <c r="W459" s="16"/>
      <c r="X459" s="14"/>
      <c r="AB459" s="4"/>
    </row>
    <row r="460" customFormat="false" ht="15.75" hidden="false" customHeight="false" outlineLevel="0" collapsed="false">
      <c r="A460" s="2"/>
      <c r="K460" s="2"/>
      <c r="L460" s="2"/>
      <c r="M460" s="2"/>
      <c r="N460" s="2"/>
      <c r="O460" s="12"/>
      <c r="P460" s="2"/>
      <c r="Q460" s="2"/>
      <c r="R460" s="2"/>
      <c r="T460" s="14"/>
      <c r="V460" s="15"/>
      <c r="W460" s="16"/>
      <c r="X460" s="14"/>
      <c r="AB460" s="4"/>
    </row>
    <row r="461" customFormat="false" ht="15.75" hidden="false" customHeight="false" outlineLevel="0" collapsed="false">
      <c r="A461" s="2"/>
      <c r="K461" s="2"/>
      <c r="L461" s="2"/>
      <c r="M461" s="2"/>
      <c r="N461" s="2"/>
      <c r="O461" s="12"/>
      <c r="P461" s="2"/>
      <c r="Q461" s="2"/>
      <c r="R461" s="2"/>
      <c r="T461" s="14"/>
      <c r="V461" s="15"/>
      <c r="W461" s="16"/>
      <c r="X461" s="14"/>
      <c r="AB461" s="4"/>
    </row>
    <row r="462" customFormat="false" ht="15.75" hidden="false" customHeight="false" outlineLevel="0" collapsed="false">
      <c r="A462" s="2"/>
      <c r="K462" s="2"/>
      <c r="L462" s="2"/>
      <c r="M462" s="2"/>
      <c r="N462" s="2"/>
      <c r="O462" s="12"/>
      <c r="P462" s="2"/>
      <c r="Q462" s="2"/>
      <c r="R462" s="2"/>
      <c r="T462" s="14"/>
      <c r="V462" s="15"/>
      <c r="W462" s="16"/>
      <c r="X462" s="14"/>
      <c r="AB462" s="4"/>
    </row>
    <row r="463" customFormat="false" ht="15.75" hidden="false" customHeight="false" outlineLevel="0" collapsed="false">
      <c r="A463" s="2"/>
      <c r="K463" s="2"/>
      <c r="L463" s="2"/>
      <c r="M463" s="2"/>
      <c r="N463" s="2"/>
      <c r="O463" s="12"/>
      <c r="P463" s="2"/>
      <c r="Q463" s="2"/>
      <c r="R463" s="2"/>
      <c r="T463" s="14"/>
      <c r="V463" s="15"/>
      <c r="W463" s="16"/>
      <c r="X463" s="14"/>
      <c r="AB463" s="4"/>
    </row>
    <row r="464" customFormat="false" ht="15.75" hidden="false" customHeight="false" outlineLevel="0" collapsed="false">
      <c r="A464" s="2"/>
      <c r="K464" s="2"/>
      <c r="L464" s="2"/>
      <c r="M464" s="2"/>
      <c r="N464" s="2"/>
      <c r="O464" s="12"/>
      <c r="P464" s="2"/>
      <c r="Q464" s="2"/>
      <c r="R464" s="2"/>
      <c r="T464" s="14"/>
      <c r="V464" s="15"/>
      <c r="W464" s="16"/>
      <c r="X464" s="14"/>
      <c r="AB464" s="4"/>
    </row>
    <row r="465" customFormat="false" ht="15.75" hidden="false" customHeight="false" outlineLevel="0" collapsed="false">
      <c r="A465" s="2"/>
      <c r="K465" s="2"/>
      <c r="L465" s="2"/>
      <c r="M465" s="2"/>
      <c r="N465" s="2"/>
      <c r="O465" s="12"/>
      <c r="P465" s="2"/>
      <c r="Q465" s="2"/>
      <c r="R465" s="2"/>
      <c r="T465" s="14"/>
      <c r="V465" s="15"/>
      <c r="W465" s="16"/>
      <c r="X465" s="14"/>
      <c r="AB465" s="4"/>
    </row>
    <row r="466" customFormat="false" ht="15.75" hidden="false" customHeight="false" outlineLevel="0" collapsed="false">
      <c r="A466" s="2"/>
      <c r="K466" s="2"/>
      <c r="L466" s="2"/>
      <c r="M466" s="2"/>
      <c r="N466" s="2"/>
      <c r="O466" s="12"/>
      <c r="P466" s="2"/>
      <c r="Q466" s="2"/>
      <c r="R466" s="2"/>
      <c r="T466" s="14"/>
      <c r="V466" s="15"/>
      <c r="W466" s="16"/>
      <c r="X466" s="14"/>
      <c r="AB466" s="4"/>
    </row>
    <row r="467" customFormat="false" ht="15.75" hidden="false" customHeight="false" outlineLevel="0" collapsed="false">
      <c r="A467" s="2"/>
      <c r="K467" s="2"/>
      <c r="L467" s="2"/>
      <c r="M467" s="2"/>
      <c r="N467" s="2"/>
      <c r="O467" s="12"/>
      <c r="P467" s="2"/>
      <c r="Q467" s="2"/>
      <c r="R467" s="2"/>
      <c r="T467" s="14"/>
      <c r="V467" s="15"/>
      <c r="W467" s="16"/>
      <c r="X467" s="14"/>
      <c r="AB467" s="4"/>
    </row>
    <row r="468" customFormat="false" ht="15.75" hidden="false" customHeight="false" outlineLevel="0" collapsed="false">
      <c r="A468" s="2"/>
      <c r="K468" s="2"/>
      <c r="L468" s="2"/>
      <c r="M468" s="2"/>
      <c r="N468" s="2"/>
      <c r="O468" s="12"/>
      <c r="P468" s="2"/>
      <c r="Q468" s="2"/>
      <c r="R468" s="2"/>
      <c r="T468" s="14"/>
      <c r="V468" s="15"/>
      <c r="W468" s="16"/>
      <c r="X468" s="14"/>
      <c r="AB468" s="4"/>
    </row>
    <row r="469" customFormat="false" ht="15.75" hidden="false" customHeight="false" outlineLevel="0" collapsed="false">
      <c r="A469" s="2"/>
      <c r="K469" s="2"/>
      <c r="L469" s="2"/>
      <c r="M469" s="2"/>
      <c r="N469" s="2"/>
      <c r="O469" s="12"/>
      <c r="P469" s="2"/>
      <c r="Q469" s="2"/>
      <c r="R469" s="2"/>
      <c r="T469" s="14"/>
      <c r="V469" s="15"/>
      <c r="W469" s="16"/>
      <c r="X469" s="14"/>
      <c r="AB469" s="4"/>
    </row>
    <row r="470" customFormat="false" ht="15.75" hidden="false" customHeight="false" outlineLevel="0" collapsed="false">
      <c r="A470" s="2"/>
      <c r="K470" s="2"/>
      <c r="L470" s="2"/>
      <c r="M470" s="2"/>
      <c r="N470" s="2"/>
      <c r="O470" s="12"/>
      <c r="P470" s="2"/>
      <c r="Q470" s="2"/>
      <c r="R470" s="2"/>
      <c r="T470" s="14"/>
      <c r="V470" s="15"/>
      <c r="W470" s="16"/>
      <c r="X470" s="14"/>
      <c r="AB470" s="4"/>
    </row>
    <row r="471" customFormat="false" ht="15.75" hidden="false" customHeight="false" outlineLevel="0" collapsed="false">
      <c r="A471" s="2"/>
      <c r="K471" s="2"/>
      <c r="L471" s="2"/>
      <c r="M471" s="2"/>
      <c r="N471" s="2"/>
      <c r="O471" s="12"/>
      <c r="P471" s="2"/>
      <c r="Q471" s="2"/>
      <c r="R471" s="2"/>
      <c r="T471" s="14"/>
      <c r="V471" s="15"/>
      <c r="W471" s="16"/>
      <c r="X471" s="14"/>
      <c r="AB471" s="4"/>
    </row>
    <row r="472" customFormat="false" ht="15.75" hidden="false" customHeight="false" outlineLevel="0" collapsed="false">
      <c r="A472" s="2"/>
      <c r="K472" s="2"/>
      <c r="L472" s="2"/>
      <c r="M472" s="2"/>
      <c r="N472" s="2"/>
      <c r="O472" s="12"/>
      <c r="P472" s="2"/>
      <c r="Q472" s="2"/>
      <c r="R472" s="2"/>
      <c r="T472" s="14"/>
      <c r="V472" s="15"/>
      <c r="W472" s="16"/>
      <c r="X472" s="14"/>
      <c r="AB472" s="4"/>
    </row>
    <row r="473" customFormat="false" ht="15.75" hidden="false" customHeight="false" outlineLevel="0" collapsed="false">
      <c r="A473" s="2"/>
      <c r="K473" s="2"/>
      <c r="L473" s="2"/>
      <c r="M473" s="2"/>
      <c r="N473" s="2"/>
      <c r="O473" s="12"/>
      <c r="P473" s="2"/>
      <c r="Q473" s="2"/>
      <c r="R473" s="2"/>
      <c r="T473" s="14"/>
      <c r="V473" s="15"/>
      <c r="W473" s="16"/>
      <c r="X473" s="14"/>
      <c r="AB473" s="4"/>
    </row>
    <row r="474" customFormat="false" ht="15.75" hidden="false" customHeight="false" outlineLevel="0" collapsed="false">
      <c r="A474" s="2"/>
      <c r="K474" s="2"/>
      <c r="L474" s="2"/>
      <c r="M474" s="2"/>
      <c r="N474" s="2"/>
      <c r="O474" s="12"/>
      <c r="P474" s="2"/>
      <c r="Q474" s="2"/>
      <c r="R474" s="2"/>
      <c r="T474" s="14"/>
      <c r="V474" s="15"/>
      <c r="W474" s="16"/>
      <c r="X474" s="14"/>
      <c r="AB474" s="4"/>
    </row>
    <row r="475" customFormat="false" ht="15.75" hidden="false" customHeight="false" outlineLevel="0" collapsed="false">
      <c r="A475" s="2"/>
      <c r="K475" s="2"/>
      <c r="L475" s="2"/>
      <c r="M475" s="2"/>
      <c r="N475" s="2"/>
      <c r="O475" s="12"/>
      <c r="P475" s="2"/>
      <c r="Q475" s="2"/>
      <c r="R475" s="2"/>
      <c r="T475" s="14"/>
      <c r="V475" s="15"/>
      <c r="W475" s="16"/>
      <c r="X475" s="14"/>
      <c r="AB475" s="4"/>
    </row>
    <row r="476" customFormat="false" ht="15.75" hidden="false" customHeight="false" outlineLevel="0" collapsed="false">
      <c r="A476" s="2"/>
      <c r="K476" s="2"/>
      <c r="L476" s="2"/>
      <c r="M476" s="2"/>
      <c r="N476" s="2"/>
      <c r="O476" s="12"/>
      <c r="P476" s="2"/>
      <c r="Q476" s="2"/>
      <c r="R476" s="2"/>
      <c r="T476" s="14"/>
      <c r="V476" s="15"/>
      <c r="W476" s="16"/>
      <c r="X476" s="14"/>
      <c r="AB476" s="4"/>
    </row>
    <row r="477" customFormat="false" ht="15.75" hidden="false" customHeight="false" outlineLevel="0" collapsed="false">
      <c r="A477" s="2"/>
      <c r="K477" s="2"/>
      <c r="L477" s="2"/>
      <c r="M477" s="2"/>
      <c r="N477" s="2"/>
      <c r="O477" s="12"/>
      <c r="P477" s="2"/>
      <c r="Q477" s="2"/>
      <c r="R477" s="2"/>
      <c r="T477" s="14"/>
      <c r="V477" s="15"/>
      <c r="W477" s="16"/>
      <c r="X477" s="14"/>
      <c r="AB477" s="4"/>
    </row>
    <row r="478" customFormat="false" ht="15.75" hidden="false" customHeight="false" outlineLevel="0" collapsed="false">
      <c r="A478" s="2"/>
      <c r="K478" s="2"/>
      <c r="L478" s="2"/>
      <c r="M478" s="2"/>
      <c r="N478" s="2"/>
      <c r="O478" s="12"/>
      <c r="P478" s="2"/>
      <c r="Q478" s="2"/>
      <c r="R478" s="2"/>
      <c r="T478" s="14"/>
      <c r="V478" s="15"/>
      <c r="W478" s="16"/>
      <c r="X478" s="14"/>
      <c r="AB478" s="4"/>
    </row>
    <row r="479" customFormat="false" ht="15.75" hidden="false" customHeight="false" outlineLevel="0" collapsed="false">
      <c r="A479" s="2"/>
      <c r="K479" s="2"/>
      <c r="L479" s="2"/>
      <c r="M479" s="2"/>
      <c r="N479" s="2"/>
      <c r="O479" s="12"/>
      <c r="P479" s="2"/>
      <c r="Q479" s="2"/>
      <c r="R479" s="2"/>
      <c r="T479" s="14"/>
      <c r="V479" s="15"/>
      <c r="W479" s="16"/>
      <c r="X479" s="14"/>
      <c r="AB479" s="4"/>
    </row>
    <row r="480" customFormat="false" ht="15.75" hidden="false" customHeight="false" outlineLevel="0" collapsed="false">
      <c r="A480" s="2"/>
      <c r="K480" s="2"/>
      <c r="L480" s="2"/>
      <c r="M480" s="2"/>
      <c r="N480" s="2"/>
      <c r="O480" s="12"/>
      <c r="P480" s="2"/>
      <c r="Q480" s="2"/>
      <c r="R480" s="2"/>
      <c r="T480" s="14"/>
      <c r="V480" s="15"/>
      <c r="W480" s="16"/>
      <c r="X480" s="14"/>
      <c r="AB480" s="4"/>
    </row>
    <row r="481" customFormat="false" ht="15.75" hidden="false" customHeight="false" outlineLevel="0" collapsed="false">
      <c r="A481" s="2"/>
      <c r="K481" s="2"/>
      <c r="L481" s="2"/>
      <c r="M481" s="2"/>
      <c r="N481" s="2"/>
      <c r="O481" s="12"/>
      <c r="P481" s="2"/>
      <c r="Q481" s="2"/>
      <c r="R481" s="2"/>
      <c r="T481" s="14"/>
      <c r="V481" s="15"/>
      <c r="W481" s="16"/>
      <c r="X481" s="14"/>
      <c r="AB481" s="4"/>
    </row>
    <row r="482" customFormat="false" ht="15.75" hidden="false" customHeight="false" outlineLevel="0" collapsed="false">
      <c r="A482" s="2"/>
      <c r="K482" s="2"/>
      <c r="L482" s="2"/>
      <c r="M482" s="2"/>
      <c r="N482" s="2"/>
      <c r="O482" s="12"/>
      <c r="P482" s="2"/>
      <c r="Q482" s="2"/>
      <c r="R482" s="2"/>
      <c r="T482" s="14"/>
      <c r="V482" s="15"/>
      <c r="W482" s="16"/>
      <c r="X482" s="14"/>
      <c r="AB482" s="4"/>
    </row>
    <row r="483" customFormat="false" ht="15.75" hidden="false" customHeight="false" outlineLevel="0" collapsed="false">
      <c r="A483" s="2"/>
      <c r="K483" s="2"/>
      <c r="L483" s="2"/>
      <c r="M483" s="2"/>
      <c r="N483" s="2"/>
      <c r="O483" s="12"/>
      <c r="P483" s="2"/>
      <c r="Q483" s="2"/>
      <c r="R483" s="2"/>
      <c r="T483" s="14"/>
      <c r="V483" s="15"/>
      <c r="W483" s="16"/>
      <c r="X483" s="14"/>
      <c r="AB483" s="4"/>
    </row>
    <row r="484" customFormat="false" ht="15.75" hidden="false" customHeight="false" outlineLevel="0" collapsed="false">
      <c r="A484" s="2"/>
      <c r="K484" s="2"/>
      <c r="L484" s="2"/>
      <c r="M484" s="2"/>
      <c r="N484" s="2"/>
      <c r="O484" s="12"/>
      <c r="P484" s="2"/>
      <c r="Q484" s="2"/>
      <c r="R484" s="2"/>
      <c r="T484" s="14"/>
      <c r="V484" s="15"/>
      <c r="W484" s="16"/>
      <c r="X484" s="14"/>
      <c r="AB484" s="4"/>
    </row>
    <row r="485" customFormat="false" ht="15.75" hidden="false" customHeight="false" outlineLevel="0" collapsed="false">
      <c r="A485" s="2"/>
      <c r="K485" s="2"/>
      <c r="L485" s="2"/>
      <c r="M485" s="2"/>
      <c r="N485" s="2"/>
      <c r="O485" s="12"/>
      <c r="P485" s="2"/>
      <c r="Q485" s="2"/>
      <c r="R485" s="2"/>
      <c r="T485" s="14"/>
      <c r="V485" s="15"/>
      <c r="W485" s="16"/>
      <c r="X485" s="14"/>
      <c r="AB485" s="4"/>
    </row>
    <row r="486" customFormat="false" ht="15.75" hidden="false" customHeight="false" outlineLevel="0" collapsed="false">
      <c r="A486" s="2"/>
      <c r="K486" s="2"/>
      <c r="L486" s="2"/>
      <c r="M486" s="2"/>
      <c r="N486" s="2"/>
      <c r="O486" s="12"/>
      <c r="P486" s="2"/>
      <c r="Q486" s="2"/>
      <c r="R486" s="2"/>
      <c r="T486" s="14"/>
      <c r="V486" s="15"/>
      <c r="W486" s="16"/>
      <c r="X486" s="14"/>
      <c r="AB486" s="4"/>
    </row>
    <row r="487" customFormat="false" ht="15.75" hidden="false" customHeight="false" outlineLevel="0" collapsed="false">
      <c r="A487" s="2"/>
      <c r="K487" s="2"/>
      <c r="L487" s="2"/>
      <c r="M487" s="2"/>
      <c r="N487" s="2"/>
      <c r="O487" s="12"/>
      <c r="P487" s="2"/>
      <c r="Q487" s="2"/>
      <c r="R487" s="2"/>
      <c r="T487" s="14"/>
      <c r="V487" s="15"/>
      <c r="W487" s="16"/>
      <c r="X487" s="14"/>
      <c r="AB487" s="4"/>
    </row>
    <row r="488" customFormat="false" ht="15.75" hidden="false" customHeight="false" outlineLevel="0" collapsed="false">
      <c r="A488" s="2"/>
      <c r="K488" s="2"/>
      <c r="L488" s="2"/>
      <c r="M488" s="2"/>
      <c r="N488" s="2"/>
      <c r="O488" s="12"/>
      <c r="P488" s="2"/>
      <c r="Q488" s="2"/>
      <c r="R488" s="2"/>
      <c r="T488" s="14"/>
      <c r="V488" s="15"/>
      <c r="W488" s="16"/>
      <c r="X488" s="14"/>
      <c r="AB488" s="4"/>
    </row>
    <row r="489" customFormat="false" ht="15.75" hidden="false" customHeight="false" outlineLevel="0" collapsed="false">
      <c r="A489" s="2"/>
      <c r="K489" s="2"/>
      <c r="L489" s="2"/>
      <c r="M489" s="2"/>
      <c r="N489" s="2"/>
      <c r="O489" s="12"/>
      <c r="P489" s="2"/>
      <c r="Q489" s="2"/>
      <c r="R489" s="2"/>
      <c r="T489" s="14"/>
      <c r="V489" s="15"/>
      <c r="W489" s="16"/>
      <c r="X489" s="14"/>
      <c r="AB489" s="4"/>
    </row>
    <row r="490" customFormat="false" ht="15.75" hidden="false" customHeight="false" outlineLevel="0" collapsed="false">
      <c r="A490" s="2"/>
      <c r="K490" s="2"/>
      <c r="L490" s="2"/>
      <c r="M490" s="2"/>
      <c r="N490" s="2"/>
      <c r="O490" s="12"/>
      <c r="P490" s="2"/>
      <c r="Q490" s="2"/>
      <c r="R490" s="2"/>
      <c r="T490" s="14"/>
      <c r="V490" s="15"/>
      <c r="W490" s="16"/>
      <c r="X490" s="14"/>
      <c r="AB490" s="4"/>
    </row>
    <row r="491" customFormat="false" ht="15.75" hidden="false" customHeight="false" outlineLevel="0" collapsed="false">
      <c r="A491" s="2"/>
      <c r="K491" s="2"/>
      <c r="L491" s="2"/>
      <c r="M491" s="2"/>
      <c r="N491" s="2"/>
      <c r="O491" s="12"/>
      <c r="P491" s="2"/>
      <c r="Q491" s="2"/>
      <c r="R491" s="2"/>
      <c r="T491" s="14"/>
      <c r="V491" s="15"/>
      <c r="W491" s="16"/>
      <c r="X491" s="14"/>
      <c r="AB491" s="4"/>
    </row>
    <row r="492" customFormat="false" ht="15.75" hidden="false" customHeight="false" outlineLevel="0" collapsed="false">
      <c r="A492" s="2"/>
      <c r="K492" s="2"/>
      <c r="L492" s="2"/>
      <c r="M492" s="2"/>
      <c r="N492" s="2"/>
      <c r="O492" s="12"/>
      <c r="P492" s="2"/>
      <c r="Q492" s="2"/>
      <c r="R492" s="2"/>
      <c r="T492" s="14"/>
      <c r="V492" s="15"/>
      <c r="W492" s="16"/>
      <c r="X492" s="14"/>
      <c r="AB492" s="4"/>
    </row>
    <row r="493" customFormat="false" ht="15.75" hidden="false" customHeight="false" outlineLevel="0" collapsed="false">
      <c r="A493" s="2"/>
      <c r="K493" s="2"/>
      <c r="L493" s="2"/>
      <c r="M493" s="2"/>
      <c r="N493" s="2"/>
      <c r="O493" s="12"/>
      <c r="P493" s="2"/>
      <c r="Q493" s="2"/>
      <c r="R493" s="2"/>
      <c r="T493" s="14"/>
      <c r="V493" s="15"/>
      <c r="W493" s="16"/>
      <c r="X493" s="14"/>
      <c r="AB493" s="4"/>
    </row>
    <row r="494" customFormat="false" ht="15.75" hidden="false" customHeight="false" outlineLevel="0" collapsed="false">
      <c r="A494" s="2"/>
      <c r="K494" s="2"/>
      <c r="L494" s="2"/>
      <c r="M494" s="2"/>
      <c r="N494" s="2"/>
      <c r="O494" s="12"/>
      <c r="P494" s="2"/>
      <c r="Q494" s="2"/>
      <c r="R494" s="2"/>
      <c r="T494" s="14"/>
      <c r="V494" s="15"/>
      <c r="W494" s="16"/>
      <c r="X494" s="14"/>
      <c r="AB494" s="4"/>
    </row>
    <row r="495" customFormat="false" ht="15.75" hidden="false" customHeight="false" outlineLevel="0" collapsed="false">
      <c r="A495" s="2"/>
      <c r="K495" s="2"/>
      <c r="L495" s="2"/>
      <c r="M495" s="2"/>
      <c r="N495" s="2"/>
      <c r="O495" s="12"/>
      <c r="P495" s="2"/>
      <c r="Q495" s="2"/>
      <c r="R495" s="2"/>
      <c r="T495" s="14"/>
      <c r="V495" s="15"/>
      <c r="W495" s="16"/>
      <c r="X495" s="14"/>
      <c r="AB495" s="4"/>
    </row>
    <row r="496" customFormat="false" ht="15.75" hidden="false" customHeight="false" outlineLevel="0" collapsed="false">
      <c r="A496" s="2"/>
      <c r="K496" s="2"/>
      <c r="L496" s="2"/>
      <c r="M496" s="2"/>
      <c r="N496" s="2"/>
      <c r="O496" s="12"/>
      <c r="P496" s="2"/>
      <c r="Q496" s="2"/>
      <c r="R496" s="2"/>
      <c r="T496" s="14"/>
      <c r="V496" s="15"/>
      <c r="W496" s="16"/>
      <c r="X496" s="14"/>
      <c r="AB496" s="4"/>
    </row>
    <row r="497" customFormat="false" ht="15.75" hidden="false" customHeight="false" outlineLevel="0" collapsed="false">
      <c r="A497" s="2"/>
      <c r="K497" s="2"/>
      <c r="L497" s="2"/>
      <c r="M497" s="2"/>
      <c r="N497" s="2"/>
      <c r="O497" s="12"/>
      <c r="P497" s="2"/>
      <c r="Q497" s="2"/>
      <c r="R497" s="2"/>
      <c r="T497" s="14"/>
      <c r="V497" s="15"/>
      <c r="W497" s="16"/>
      <c r="X497" s="14"/>
      <c r="AB497" s="4"/>
    </row>
    <row r="498" customFormat="false" ht="15.75" hidden="false" customHeight="false" outlineLevel="0" collapsed="false">
      <c r="A498" s="2"/>
      <c r="K498" s="2"/>
      <c r="L498" s="2"/>
      <c r="M498" s="2"/>
      <c r="N498" s="2"/>
      <c r="O498" s="12"/>
      <c r="P498" s="2"/>
      <c r="Q498" s="2"/>
      <c r="R498" s="2"/>
      <c r="T498" s="14"/>
      <c r="V498" s="15"/>
      <c r="W498" s="16"/>
      <c r="X498" s="14"/>
      <c r="AB498" s="4"/>
    </row>
    <row r="499" customFormat="false" ht="15.75" hidden="false" customHeight="false" outlineLevel="0" collapsed="false">
      <c r="A499" s="2"/>
      <c r="K499" s="2"/>
      <c r="L499" s="2"/>
      <c r="M499" s="2"/>
      <c r="N499" s="2"/>
      <c r="O499" s="12"/>
      <c r="P499" s="2"/>
      <c r="Q499" s="2"/>
      <c r="R499" s="2"/>
      <c r="T499" s="14"/>
      <c r="V499" s="15"/>
      <c r="W499" s="16"/>
      <c r="X499" s="14"/>
      <c r="AB499" s="4"/>
    </row>
    <row r="500" customFormat="false" ht="15.75" hidden="false" customHeight="false" outlineLevel="0" collapsed="false">
      <c r="A500" s="2"/>
      <c r="K500" s="2"/>
      <c r="L500" s="2"/>
      <c r="M500" s="2"/>
      <c r="N500" s="2"/>
      <c r="O500" s="12"/>
      <c r="P500" s="2"/>
      <c r="Q500" s="2"/>
      <c r="R500" s="2"/>
      <c r="T500" s="14"/>
      <c r="V500" s="15"/>
      <c r="W500" s="16"/>
      <c r="X500" s="14"/>
      <c r="AB500" s="4"/>
    </row>
    <row r="501" customFormat="false" ht="15.75" hidden="false" customHeight="false" outlineLevel="0" collapsed="false">
      <c r="A501" s="2"/>
      <c r="K501" s="2"/>
      <c r="L501" s="2"/>
      <c r="M501" s="2"/>
      <c r="N501" s="2"/>
      <c r="O501" s="12"/>
      <c r="P501" s="2"/>
      <c r="Q501" s="2"/>
      <c r="R501" s="2"/>
      <c r="T501" s="14"/>
      <c r="V501" s="15"/>
      <c r="W501" s="16"/>
      <c r="X501" s="14"/>
      <c r="AB501" s="4"/>
    </row>
    <row r="502" customFormat="false" ht="15.75" hidden="false" customHeight="false" outlineLevel="0" collapsed="false">
      <c r="A502" s="2"/>
      <c r="K502" s="2"/>
      <c r="L502" s="2"/>
      <c r="M502" s="2"/>
      <c r="N502" s="2"/>
      <c r="O502" s="12"/>
      <c r="P502" s="2"/>
      <c r="Q502" s="2"/>
      <c r="R502" s="2"/>
      <c r="T502" s="14"/>
      <c r="V502" s="15"/>
      <c r="W502" s="16"/>
      <c r="X502" s="14"/>
      <c r="AB502" s="4"/>
    </row>
    <row r="503" customFormat="false" ht="15.75" hidden="false" customHeight="false" outlineLevel="0" collapsed="false">
      <c r="A503" s="2"/>
      <c r="K503" s="2"/>
      <c r="L503" s="2"/>
      <c r="M503" s="2"/>
      <c r="N503" s="2"/>
      <c r="O503" s="12"/>
      <c r="P503" s="2"/>
      <c r="Q503" s="2"/>
      <c r="R503" s="2"/>
      <c r="T503" s="14"/>
      <c r="V503" s="15"/>
      <c r="W503" s="16"/>
      <c r="X503" s="14"/>
      <c r="AB503" s="4"/>
    </row>
    <row r="504" customFormat="false" ht="15.75" hidden="false" customHeight="false" outlineLevel="0" collapsed="false">
      <c r="A504" s="2"/>
      <c r="K504" s="2"/>
      <c r="L504" s="2"/>
      <c r="M504" s="2"/>
      <c r="N504" s="2"/>
      <c r="O504" s="12"/>
      <c r="P504" s="2"/>
      <c r="Q504" s="2"/>
      <c r="R504" s="2"/>
      <c r="T504" s="14"/>
      <c r="V504" s="15"/>
      <c r="W504" s="16"/>
      <c r="X504" s="14"/>
      <c r="AB504" s="4"/>
    </row>
    <row r="505" customFormat="false" ht="15.75" hidden="false" customHeight="false" outlineLevel="0" collapsed="false">
      <c r="A505" s="2"/>
      <c r="K505" s="2"/>
      <c r="L505" s="2"/>
      <c r="M505" s="2"/>
      <c r="N505" s="2"/>
      <c r="O505" s="12"/>
      <c r="P505" s="2"/>
      <c r="Q505" s="2"/>
      <c r="R505" s="2"/>
      <c r="T505" s="14"/>
      <c r="V505" s="15"/>
      <c r="W505" s="16"/>
      <c r="X505" s="14"/>
      <c r="AB505" s="4"/>
    </row>
    <row r="506" customFormat="false" ht="15.75" hidden="false" customHeight="false" outlineLevel="0" collapsed="false">
      <c r="A506" s="2"/>
      <c r="K506" s="2"/>
      <c r="L506" s="2"/>
      <c r="M506" s="2"/>
      <c r="N506" s="2"/>
      <c r="O506" s="12"/>
      <c r="P506" s="2"/>
      <c r="Q506" s="2"/>
      <c r="R506" s="2"/>
      <c r="T506" s="14"/>
      <c r="V506" s="15"/>
      <c r="W506" s="16"/>
      <c r="X506" s="14"/>
      <c r="AB506" s="4"/>
    </row>
    <row r="507" customFormat="false" ht="15.75" hidden="false" customHeight="false" outlineLevel="0" collapsed="false">
      <c r="A507" s="2"/>
      <c r="K507" s="2"/>
      <c r="L507" s="2"/>
      <c r="M507" s="2"/>
      <c r="N507" s="2"/>
      <c r="O507" s="12"/>
      <c r="P507" s="2"/>
      <c r="Q507" s="2"/>
      <c r="R507" s="2"/>
      <c r="T507" s="14"/>
      <c r="V507" s="15"/>
      <c r="W507" s="16"/>
      <c r="X507" s="14"/>
      <c r="AB507" s="4"/>
    </row>
    <row r="508" customFormat="false" ht="15.75" hidden="false" customHeight="false" outlineLevel="0" collapsed="false">
      <c r="A508" s="2"/>
      <c r="K508" s="2"/>
      <c r="L508" s="2"/>
      <c r="M508" s="2"/>
      <c r="N508" s="2"/>
      <c r="O508" s="12"/>
      <c r="P508" s="2"/>
      <c r="Q508" s="2"/>
      <c r="R508" s="2"/>
      <c r="T508" s="14"/>
      <c r="V508" s="15"/>
      <c r="W508" s="16"/>
      <c r="X508" s="14"/>
      <c r="AB508" s="4"/>
    </row>
    <row r="509" customFormat="false" ht="15.75" hidden="false" customHeight="false" outlineLevel="0" collapsed="false">
      <c r="A509" s="2"/>
      <c r="K509" s="2"/>
      <c r="L509" s="2"/>
      <c r="M509" s="2"/>
      <c r="N509" s="2"/>
      <c r="O509" s="12"/>
      <c r="P509" s="2"/>
      <c r="Q509" s="2"/>
      <c r="R509" s="2"/>
      <c r="T509" s="14"/>
      <c r="V509" s="15"/>
      <c r="W509" s="16"/>
      <c r="X509" s="14"/>
      <c r="AB509" s="4"/>
    </row>
    <row r="510" customFormat="false" ht="15.75" hidden="false" customHeight="false" outlineLevel="0" collapsed="false">
      <c r="A510" s="2"/>
      <c r="K510" s="2"/>
      <c r="L510" s="2"/>
      <c r="M510" s="2"/>
      <c r="N510" s="2"/>
      <c r="O510" s="12"/>
      <c r="P510" s="2"/>
      <c r="Q510" s="2"/>
      <c r="R510" s="2"/>
      <c r="T510" s="14"/>
      <c r="V510" s="15"/>
      <c r="W510" s="16"/>
      <c r="X510" s="14"/>
      <c r="AB510" s="4"/>
    </row>
    <row r="511" customFormat="false" ht="15.75" hidden="false" customHeight="false" outlineLevel="0" collapsed="false">
      <c r="A511" s="2"/>
      <c r="K511" s="2"/>
      <c r="L511" s="2"/>
      <c r="M511" s="2"/>
      <c r="N511" s="2"/>
      <c r="O511" s="12"/>
      <c r="P511" s="2"/>
      <c r="Q511" s="2"/>
      <c r="R511" s="2"/>
      <c r="T511" s="14"/>
      <c r="V511" s="15"/>
      <c r="W511" s="16"/>
      <c r="X511" s="14"/>
      <c r="AB511" s="4"/>
    </row>
    <row r="512" customFormat="false" ht="15.75" hidden="false" customHeight="false" outlineLevel="0" collapsed="false">
      <c r="A512" s="2"/>
      <c r="K512" s="2"/>
      <c r="L512" s="2"/>
      <c r="M512" s="2"/>
      <c r="N512" s="2"/>
      <c r="O512" s="12"/>
      <c r="P512" s="2"/>
      <c r="Q512" s="2"/>
      <c r="R512" s="2"/>
      <c r="T512" s="14"/>
      <c r="V512" s="15"/>
      <c r="W512" s="16"/>
      <c r="X512" s="14"/>
      <c r="AB512" s="4"/>
    </row>
    <row r="513" customFormat="false" ht="15.75" hidden="false" customHeight="false" outlineLevel="0" collapsed="false">
      <c r="A513" s="2"/>
      <c r="K513" s="2"/>
      <c r="L513" s="2"/>
      <c r="M513" s="2"/>
      <c r="N513" s="2"/>
      <c r="O513" s="12"/>
      <c r="P513" s="2"/>
      <c r="Q513" s="2"/>
      <c r="R513" s="2"/>
      <c r="T513" s="14"/>
      <c r="V513" s="15"/>
      <c r="W513" s="16"/>
      <c r="X513" s="14"/>
      <c r="AB513" s="4"/>
    </row>
    <row r="514" customFormat="false" ht="15.75" hidden="false" customHeight="false" outlineLevel="0" collapsed="false">
      <c r="A514" s="2"/>
      <c r="K514" s="2"/>
      <c r="L514" s="2"/>
      <c r="M514" s="2"/>
      <c r="N514" s="2"/>
      <c r="O514" s="12"/>
      <c r="P514" s="2"/>
      <c r="Q514" s="2"/>
      <c r="R514" s="2"/>
      <c r="T514" s="14"/>
      <c r="V514" s="15"/>
      <c r="W514" s="16"/>
      <c r="X514" s="14"/>
      <c r="AB514" s="4"/>
    </row>
    <row r="515" customFormat="false" ht="15.75" hidden="false" customHeight="false" outlineLevel="0" collapsed="false">
      <c r="A515" s="2"/>
      <c r="K515" s="2"/>
      <c r="L515" s="2"/>
      <c r="M515" s="2"/>
      <c r="N515" s="2"/>
      <c r="O515" s="12"/>
      <c r="P515" s="2"/>
      <c r="Q515" s="2"/>
      <c r="R515" s="2"/>
      <c r="T515" s="14"/>
      <c r="V515" s="15"/>
      <c r="W515" s="16"/>
      <c r="X515" s="14"/>
      <c r="AB515" s="4"/>
    </row>
    <row r="516" customFormat="false" ht="15.75" hidden="false" customHeight="false" outlineLevel="0" collapsed="false">
      <c r="A516" s="2"/>
      <c r="K516" s="2"/>
      <c r="L516" s="2"/>
      <c r="M516" s="2"/>
      <c r="N516" s="2"/>
      <c r="O516" s="12"/>
      <c r="P516" s="2"/>
      <c r="Q516" s="2"/>
      <c r="R516" s="2"/>
      <c r="T516" s="14"/>
      <c r="V516" s="15"/>
      <c r="W516" s="16"/>
      <c r="X516" s="14"/>
      <c r="AB516" s="4"/>
    </row>
    <row r="517" customFormat="false" ht="15.75" hidden="false" customHeight="false" outlineLevel="0" collapsed="false">
      <c r="A517" s="2"/>
      <c r="K517" s="2"/>
      <c r="L517" s="2"/>
      <c r="M517" s="2"/>
      <c r="N517" s="2"/>
      <c r="O517" s="12"/>
      <c r="P517" s="2"/>
      <c r="Q517" s="2"/>
      <c r="R517" s="2"/>
      <c r="T517" s="14"/>
      <c r="V517" s="15"/>
      <c r="W517" s="16"/>
      <c r="X517" s="14"/>
      <c r="AB517" s="4"/>
    </row>
    <row r="518" customFormat="false" ht="15.75" hidden="false" customHeight="false" outlineLevel="0" collapsed="false">
      <c r="A518" s="2"/>
      <c r="K518" s="2"/>
      <c r="L518" s="2"/>
      <c r="M518" s="2"/>
      <c r="N518" s="2"/>
      <c r="O518" s="12"/>
      <c r="P518" s="2"/>
      <c r="Q518" s="2"/>
      <c r="R518" s="2"/>
      <c r="T518" s="14"/>
      <c r="V518" s="15"/>
      <c r="W518" s="16"/>
      <c r="X518" s="14"/>
      <c r="AB518" s="4"/>
    </row>
    <row r="519" customFormat="false" ht="15.75" hidden="false" customHeight="false" outlineLevel="0" collapsed="false">
      <c r="A519" s="2"/>
      <c r="K519" s="2"/>
      <c r="L519" s="2"/>
      <c r="M519" s="2"/>
      <c r="N519" s="2"/>
      <c r="O519" s="12"/>
      <c r="P519" s="2"/>
      <c r="Q519" s="2"/>
      <c r="R519" s="2"/>
      <c r="T519" s="14"/>
      <c r="V519" s="15"/>
      <c r="W519" s="16"/>
      <c r="X519" s="14"/>
      <c r="AB519" s="4"/>
    </row>
    <row r="520" customFormat="false" ht="15.75" hidden="false" customHeight="false" outlineLevel="0" collapsed="false">
      <c r="A520" s="2"/>
      <c r="K520" s="2"/>
      <c r="L520" s="2"/>
      <c r="M520" s="2"/>
      <c r="N520" s="2"/>
      <c r="O520" s="12"/>
      <c r="P520" s="2"/>
      <c r="Q520" s="2"/>
      <c r="R520" s="2"/>
      <c r="T520" s="14"/>
      <c r="V520" s="15"/>
      <c r="W520" s="16"/>
      <c r="X520" s="14"/>
      <c r="AB520" s="4"/>
    </row>
    <row r="521" customFormat="false" ht="15.75" hidden="false" customHeight="false" outlineLevel="0" collapsed="false">
      <c r="A521" s="2"/>
      <c r="K521" s="2"/>
      <c r="L521" s="2"/>
      <c r="M521" s="2"/>
      <c r="N521" s="2"/>
      <c r="O521" s="12"/>
      <c r="P521" s="2"/>
      <c r="Q521" s="2"/>
      <c r="R521" s="2"/>
      <c r="T521" s="14"/>
      <c r="V521" s="15"/>
      <c r="W521" s="16"/>
      <c r="X521" s="14"/>
      <c r="AB521" s="4"/>
    </row>
    <row r="522" customFormat="false" ht="15.75" hidden="false" customHeight="false" outlineLevel="0" collapsed="false">
      <c r="A522" s="2"/>
      <c r="K522" s="2"/>
      <c r="L522" s="2"/>
      <c r="M522" s="2"/>
      <c r="N522" s="2"/>
      <c r="O522" s="12"/>
      <c r="P522" s="2"/>
      <c r="Q522" s="2"/>
      <c r="R522" s="2"/>
      <c r="T522" s="14"/>
      <c r="V522" s="15"/>
      <c r="W522" s="16"/>
      <c r="X522" s="14"/>
      <c r="AB522" s="4"/>
    </row>
    <row r="523" customFormat="false" ht="15.75" hidden="false" customHeight="false" outlineLevel="0" collapsed="false">
      <c r="A523" s="2"/>
      <c r="K523" s="2"/>
      <c r="L523" s="2"/>
      <c r="M523" s="2"/>
      <c r="N523" s="2"/>
      <c r="O523" s="12"/>
      <c r="P523" s="2"/>
      <c r="Q523" s="2"/>
      <c r="R523" s="2"/>
      <c r="T523" s="14"/>
      <c r="V523" s="15"/>
      <c r="W523" s="16"/>
      <c r="X523" s="14"/>
      <c r="AB523" s="4"/>
    </row>
    <row r="524" customFormat="false" ht="15.75" hidden="false" customHeight="false" outlineLevel="0" collapsed="false">
      <c r="A524" s="2"/>
      <c r="K524" s="2"/>
      <c r="L524" s="2"/>
      <c r="M524" s="2"/>
      <c r="N524" s="2"/>
      <c r="O524" s="12"/>
      <c r="P524" s="2"/>
      <c r="Q524" s="2"/>
      <c r="R524" s="2"/>
      <c r="T524" s="14"/>
      <c r="V524" s="15"/>
      <c r="W524" s="16"/>
      <c r="X524" s="14"/>
      <c r="AB524" s="4"/>
    </row>
    <row r="525" customFormat="false" ht="15.75" hidden="false" customHeight="false" outlineLevel="0" collapsed="false">
      <c r="A525" s="2"/>
      <c r="K525" s="2"/>
      <c r="L525" s="2"/>
      <c r="M525" s="2"/>
      <c r="N525" s="2"/>
      <c r="O525" s="12"/>
      <c r="P525" s="2"/>
      <c r="Q525" s="2"/>
      <c r="R525" s="2"/>
      <c r="T525" s="14"/>
      <c r="V525" s="15"/>
      <c r="W525" s="16"/>
      <c r="X525" s="14"/>
      <c r="AB525" s="4"/>
    </row>
    <row r="526" customFormat="false" ht="15.75" hidden="false" customHeight="false" outlineLevel="0" collapsed="false">
      <c r="A526" s="2"/>
      <c r="K526" s="2"/>
      <c r="L526" s="2"/>
      <c r="M526" s="2"/>
      <c r="N526" s="2"/>
      <c r="O526" s="12"/>
      <c r="P526" s="2"/>
      <c r="Q526" s="2"/>
      <c r="R526" s="2"/>
      <c r="T526" s="14"/>
      <c r="V526" s="15"/>
      <c r="W526" s="16"/>
      <c r="X526" s="14"/>
      <c r="AB526" s="4"/>
    </row>
    <row r="527" customFormat="false" ht="15.75" hidden="false" customHeight="false" outlineLevel="0" collapsed="false">
      <c r="A527" s="2"/>
      <c r="K527" s="2"/>
      <c r="L527" s="2"/>
      <c r="M527" s="2"/>
      <c r="N527" s="2"/>
      <c r="O527" s="12"/>
      <c r="P527" s="2"/>
      <c r="Q527" s="2"/>
      <c r="R527" s="2"/>
      <c r="T527" s="14"/>
      <c r="V527" s="15"/>
      <c r="W527" s="16"/>
      <c r="X527" s="14"/>
      <c r="AB527" s="4"/>
    </row>
    <row r="528" customFormat="false" ht="15.75" hidden="false" customHeight="false" outlineLevel="0" collapsed="false">
      <c r="A528" s="2"/>
      <c r="K528" s="2"/>
      <c r="L528" s="2"/>
      <c r="M528" s="2"/>
      <c r="N528" s="2"/>
      <c r="O528" s="12"/>
      <c r="P528" s="2"/>
      <c r="Q528" s="2"/>
      <c r="R528" s="2"/>
      <c r="T528" s="14"/>
      <c r="V528" s="15"/>
      <c r="W528" s="16"/>
      <c r="X528" s="14"/>
      <c r="AB528" s="4"/>
    </row>
    <row r="529" customFormat="false" ht="15.75" hidden="false" customHeight="false" outlineLevel="0" collapsed="false">
      <c r="A529" s="2"/>
      <c r="K529" s="2"/>
      <c r="L529" s="2"/>
      <c r="M529" s="2"/>
      <c r="N529" s="2"/>
      <c r="O529" s="12"/>
      <c r="P529" s="2"/>
      <c r="Q529" s="2"/>
      <c r="R529" s="2"/>
      <c r="T529" s="14"/>
      <c r="V529" s="15"/>
      <c r="W529" s="16"/>
      <c r="X529" s="14"/>
      <c r="AB529" s="4"/>
    </row>
    <row r="530" customFormat="false" ht="15.75" hidden="false" customHeight="false" outlineLevel="0" collapsed="false">
      <c r="A530" s="2"/>
      <c r="K530" s="2"/>
      <c r="L530" s="2"/>
      <c r="M530" s="2"/>
      <c r="N530" s="2"/>
      <c r="O530" s="12"/>
      <c r="P530" s="2"/>
      <c r="Q530" s="2"/>
      <c r="R530" s="2"/>
      <c r="T530" s="14"/>
      <c r="V530" s="15"/>
      <c r="W530" s="16"/>
      <c r="X530" s="14"/>
      <c r="AB530" s="4"/>
    </row>
    <row r="531" customFormat="false" ht="15.75" hidden="false" customHeight="false" outlineLevel="0" collapsed="false">
      <c r="A531" s="2"/>
      <c r="K531" s="2"/>
      <c r="L531" s="2"/>
      <c r="M531" s="2"/>
      <c r="N531" s="2"/>
      <c r="O531" s="12"/>
      <c r="P531" s="2"/>
      <c r="Q531" s="2"/>
      <c r="R531" s="2"/>
      <c r="T531" s="14"/>
      <c r="V531" s="15"/>
      <c r="W531" s="16"/>
      <c r="X531" s="14"/>
      <c r="AB531" s="4"/>
    </row>
    <row r="532" customFormat="false" ht="15.75" hidden="false" customHeight="false" outlineLevel="0" collapsed="false">
      <c r="A532" s="2"/>
      <c r="K532" s="2"/>
      <c r="L532" s="2"/>
      <c r="M532" s="2"/>
      <c r="N532" s="2"/>
      <c r="O532" s="12"/>
      <c r="P532" s="2"/>
      <c r="Q532" s="2"/>
      <c r="R532" s="2"/>
      <c r="T532" s="14"/>
      <c r="V532" s="15"/>
      <c r="W532" s="16"/>
      <c r="X532" s="14"/>
      <c r="AB532" s="4"/>
    </row>
    <row r="533" customFormat="false" ht="15.75" hidden="false" customHeight="false" outlineLevel="0" collapsed="false">
      <c r="A533" s="2"/>
      <c r="K533" s="2"/>
      <c r="L533" s="2"/>
      <c r="M533" s="2"/>
      <c r="N533" s="2"/>
      <c r="O533" s="12"/>
      <c r="P533" s="2"/>
      <c r="Q533" s="2"/>
      <c r="R533" s="2"/>
      <c r="T533" s="14"/>
      <c r="V533" s="15"/>
      <c r="W533" s="16"/>
      <c r="X533" s="14"/>
      <c r="AB533" s="4"/>
    </row>
    <row r="534" customFormat="false" ht="15.75" hidden="false" customHeight="false" outlineLevel="0" collapsed="false">
      <c r="A534" s="2"/>
      <c r="K534" s="2"/>
      <c r="L534" s="2"/>
      <c r="M534" s="2"/>
      <c r="N534" s="2"/>
      <c r="O534" s="12"/>
      <c r="P534" s="2"/>
      <c r="Q534" s="2"/>
      <c r="R534" s="2"/>
      <c r="T534" s="14"/>
      <c r="V534" s="15"/>
      <c r="W534" s="16"/>
      <c r="X534" s="14"/>
      <c r="AB534" s="4"/>
    </row>
    <row r="535" customFormat="false" ht="15.75" hidden="false" customHeight="false" outlineLevel="0" collapsed="false">
      <c r="A535" s="2"/>
      <c r="K535" s="2"/>
      <c r="L535" s="2"/>
      <c r="M535" s="2"/>
      <c r="N535" s="2"/>
      <c r="O535" s="12"/>
      <c r="P535" s="2"/>
      <c r="Q535" s="2"/>
      <c r="R535" s="2"/>
      <c r="T535" s="14"/>
      <c r="V535" s="15"/>
      <c r="W535" s="16"/>
      <c r="X535" s="14"/>
      <c r="AB535" s="4"/>
    </row>
    <row r="536" customFormat="false" ht="15.75" hidden="false" customHeight="false" outlineLevel="0" collapsed="false">
      <c r="A536" s="2"/>
      <c r="K536" s="2"/>
      <c r="L536" s="2"/>
      <c r="M536" s="2"/>
      <c r="N536" s="2"/>
      <c r="O536" s="12"/>
      <c r="P536" s="2"/>
      <c r="Q536" s="2"/>
      <c r="R536" s="2"/>
      <c r="T536" s="14"/>
      <c r="V536" s="15"/>
      <c r="W536" s="16"/>
      <c r="X536" s="14"/>
      <c r="AB536" s="4"/>
    </row>
    <row r="537" customFormat="false" ht="15.75" hidden="false" customHeight="false" outlineLevel="0" collapsed="false">
      <c r="A537" s="2"/>
      <c r="K537" s="2"/>
      <c r="L537" s="2"/>
      <c r="M537" s="2"/>
      <c r="N537" s="2"/>
      <c r="O537" s="12"/>
      <c r="P537" s="2"/>
      <c r="Q537" s="2"/>
      <c r="R537" s="2"/>
      <c r="T537" s="14"/>
      <c r="V537" s="15"/>
      <c r="W537" s="16"/>
      <c r="X537" s="14"/>
      <c r="AB537" s="4"/>
    </row>
    <row r="538" customFormat="false" ht="15.75" hidden="false" customHeight="false" outlineLevel="0" collapsed="false">
      <c r="A538" s="2"/>
      <c r="K538" s="2"/>
      <c r="L538" s="2"/>
      <c r="M538" s="2"/>
      <c r="N538" s="2"/>
      <c r="O538" s="12"/>
      <c r="P538" s="2"/>
      <c r="Q538" s="2"/>
      <c r="R538" s="2"/>
      <c r="T538" s="14"/>
      <c r="V538" s="15"/>
      <c r="W538" s="16"/>
      <c r="X538" s="14"/>
      <c r="AB538" s="4"/>
    </row>
    <row r="539" customFormat="false" ht="15.75" hidden="false" customHeight="false" outlineLevel="0" collapsed="false">
      <c r="A539" s="2"/>
      <c r="K539" s="2"/>
      <c r="L539" s="2"/>
      <c r="M539" s="2"/>
      <c r="N539" s="2"/>
      <c r="O539" s="12"/>
      <c r="P539" s="2"/>
      <c r="Q539" s="2"/>
      <c r="R539" s="2"/>
      <c r="T539" s="14"/>
      <c r="V539" s="15"/>
      <c r="W539" s="16"/>
      <c r="X539" s="14"/>
      <c r="AB539" s="4"/>
    </row>
    <row r="540" customFormat="false" ht="15.75" hidden="false" customHeight="false" outlineLevel="0" collapsed="false">
      <c r="A540" s="2"/>
      <c r="K540" s="2"/>
      <c r="L540" s="2"/>
      <c r="M540" s="2"/>
      <c r="N540" s="2"/>
      <c r="O540" s="12"/>
      <c r="P540" s="2"/>
      <c r="Q540" s="2"/>
      <c r="R540" s="2"/>
      <c r="T540" s="14"/>
      <c r="V540" s="15"/>
      <c r="W540" s="16"/>
      <c r="X540" s="14"/>
      <c r="AB540" s="4"/>
    </row>
    <row r="541" customFormat="false" ht="15.75" hidden="false" customHeight="false" outlineLevel="0" collapsed="false">
      <c r="A541" s="2"/>
      <c r="K541" s="2"/>
      <c r="L541" s="2"/>
      <c r="M541" s="2"/>
      <c r="N541" s="2"/>
      <c r="O541" s="12"/>
      <c r="P541" s="2"/>
      <c r="Q541" s="2"/>
      <c r="R541" s="2"/>
      <c r="T541" s="14"/>
      <c r="V541" s="15"/>
      <c r="W541" s="16"/>
      <c r="X541" s="14"/>
      <c r="AB541" s="4"/>
    </row>
    <row r="542" customFormat="false" ht="15.75" hidden="false" customHeight="false" outlineLevel="0" collapsed="false">
      <c r="A542" s="2"/>
      <c r="K542" s="2"/>
      <c r="L542" s="2"/>
      <c r="M542" s="2"/>
      <c r="N542" s="2"/>
      <c r="O542" s="12"/>
      <c r="P542" s="2"/>
      <c r="Q542" s="2"/>
      <c r="R542" s="2"/>
      <c r="T542" s="14"/>
      <c r="V542" s="15"/>
      <c r="W542" s="16"/>
      <c r="X542" s="14"/>
      <c r="AB542" s="4"/>
    </row>
    <row r="543" customFormat="false" ht="15.75" hidden="false" customHeight="false" outlineLevel="0" collapsed="false">
      <c r="A543" s="2"/>
      <c r="K543" s="2"/>
      <c r="L543" s="2"/>
      <c r="M543" s="2"/>
      <c r="N543" s="2"/>
      <c r="O543" s="12"/>
      <c r="P543" s="2"/>
      <c r="Q543" s="2"/>
      <c r="R543" s="2"/>
      <c r="T543" s="14"/>
      <c r="V543" s="15"/>
      <c r="W543" s="16"/>
      <c r="X543" s="14"/>
      <c r="AB543" s="4"/>
    </row>
    <row r="544" customFormat="false" ht="15.75" hidden="false" customHeight="false" outlineLevel="0" collapsed="false">
      <c r="A544" s="2"/>
      <c r="K544" s="2"/>
      <c r="L544" s="2"/>
      <c r="M544" s="2"/>
      <c r="N544" s="2"/>
      <c r="O544" s="12"/>
      <c r="P544" s="2"/>
      <c r="Q544" s="2"/>
      <c r="R544" s="2"/>
      <c r="T544" s="14"/>
      <c r="V544" s="15"/>
      <c r="W544" s="16"/>
      <c r="X544" s="14"/>
      <c r="AB544" s="4"/>
    </row>
    <row r="545" customFormat="false" ht="15.75" hidden="false" customHeight="false" outlineLevel="0" collapsed="false">
      <c r="A545" s="2"/>
      <c r="K545" s="2"/>
      <c r="L545" s="2"/>
      <c r="M545" s="2"/>
      <c r="N545" s="2"/>
      <c r="O545" s="12"/>
      <c r="P545" s="2"/>
      <c r="Q545" s="2"/>
      <c r="R545" s="2"/>
      <c r="T545" s="14"/>
      <c r="V545" s="15"/>
      <c r="W545" s="16"/>
      <c r="X545" s="14"/>
      <c r="AB545" s="4"/>
    </row>
    <row r="546" customFormat="false" ht="15.75" hidden="false" customHeight="false" outlineLevel="0" collapsed="false">
      <c r="A546" s="2"/>
      <c r="K546" s="2"/>
      <c r="L546" s="2"/>
      <c r="M546" s="2"/>
      <c r="N546" s="2"/>
      <c r="O546" s="12"/>
      <c r="P546" s="2"/>
      <c r="Q546" s="2"/>
      <c r="R546" s="2"/>
      <c r="T546" s="14"/>
      <c r="V546" s="15"/>
      <c r="W546" s="16"/>
      <c r="X546" s="14"/>
      <c r="AB546" s="4"/>
    </row>
    <row r="547" customFormat="false" ht="15.75" hidden="false" customHeight="false" outlineLevel="0" collapsed="false">
      <c r="A547" s="2"/>
      <c r="K547" s="2"/>
      <c r="L547" s="2"/>
      <c r="M547" s="2"/>
      <c r="N547" s="2"/>
      <c r="O547" s="12"/>
      <c r="P547" s="2"/>
      <c r="Q547" s="2"/>
      <c r="R547" s="2"/>
      <c r="T547" s="14"/>
      <c r="V547" s="15"/>
      <c r="W547" s="16"/>
      <c r="X547" s="14"/>
      <c r="AB547" s="4"/>
    </row>
    <row r="548" customFormat="false" ht="15.75" hidden="false" customHeight="false" outlineLevel="0" collapsed="false">
      <c r="A548" s="2"/>
      <c r="K548" s="2"/>
      <c r="L548" s="2"/>
      <c r="M548" s="2"/>
      <c r="N548" s="2"/>
      <c r="O548" s="12"/>
      <c r="P548" s="2"/>
      <c r="Q548" s="2"/>
      <c r="R548" s="2"/>
      <c r="T548" s="14"/>
      <c r="V548" s="15"/>
      <c r="W548" s="16"/>
      <c r="X548" s="14"/>
      <c r="AB548" s="4"/>
    </row>
    <row r="549" customFormat="false" ht="15.75" hidden="false" customHeight="false" outlineLevel="0" collapsed="false">
      <c r="A549" s="2"/>
      <c r="K549" s="2"/>
      <c r="L549" s="2"/>
      <c r="M549" s="2"/>
      <c r="N549" s="2"/>
      <c r="O549" s="12"/>
      <c r="P549" s="2"/>
      <c r="Q549" s="2"/>
      <c r="R549" s="2"/>
      <c r="T549" s="14"/>
      <c r="V549" s="15"/>
      <c r="W549" s="16"/>
      <c r="X549" s="14"/>
      <c r="AB549" s="4"/>
    </row>
    <row r="550" customFormat="false" ht="15.75" hidden="false" customHeight="false" outlineLevel="0" collapsed="false">
      <c r="A550" s="2"/>
      <c r="K550" s="2"/>
      <c r="L550" s="2"/>
      <c r="M550" s="2"/>
      <c r="N550" s="2"/>
      <c r="O550" s="12"/>
      <c r="P550" s="2"/>
      <c r="Q550" s="2"/>
      <c r="R550" s="2"/>
      <c r="T550" s="14"/>
      <c r="V550" s="15"/>
      <c r="W550" s="16"/>
      <c r="X550" s="14"/>
      <c r="AB550" s="4"/>
    </row>
    <row r="551" customFormat="false" ht="15.75" hidden="false" customHeight="false" outlineLevel="0" collapsed="false">
      <c r="A551" s="2"/>
      <c r="K551" s="2"/>
      <c r="L551" s="2"/>
      <c r="M551" s="2"/>
      <c r="N551" s="2"/>
      <c r="O551" s="12"/>
      <c r="P551" s="2"/>
      <c r="Q551" s="2"/>
      <c r="R551" s="2"/>
      <c r="T551" s="14"/>
      <c r="V551" s="15"/>
      <c r="W551" s="16"/>
      <c r="X551" s="14"/>
      <c r="AB551" s="4"/>
    </row>
    <row r="552" customFormat="false" ht="15.75" hidden="false" customHeight="false" outlineLevel="0" collapsed="false">
      <c r="A552" s="2"/>
      <c r="K552" s="2"/>
      <c r="L552" s="2"/>
      <c r="M552" s="2"/>
      <c r="N552" s="2"/>
      <c r="O552" s="12"/>
      <c r="P552" s="2"/>
      <c r="Q552" s="2"/>
      <c r="R552" s="2"/>
      <c r="T552" s="14"/>
      <c r="V552" s="15"/>
      <c r="W552" s="16"/>
      <c r="X552" s="14"/>
      <c r="AB552" s="4"/>
    </row>
    <row r="553" customFormat="false" ht="15.75" hidden="false" customHeight="false" outlineLevel="0" collapsed="false">
      <c r="A553" s="2"/>
      <c r="K553" s="2"/>
      <c r="L553" s="2"/>
      <c r="M553" s="2"/>
      <c r="N553" s="2"/>
      <c r="O553" s="12"/>
      <c r="P553" s="2"/>
      <c r="Q553" s="2"/>
      <c r="R553" s="2"/>
      <c r="T553" s="14"/>
      <c r="V553" s="15"/>
      <c r="W553" s="16"/>
      <c r="X553" s="14"/>
      <c r="AB553" s="4"/>
    </row>
    <row r="554" customFormat="false" ht="15.75" hidden="false" customHeight="false" outlineLevel="0" collapsed="false">
      <c r="A554" s="2"/>
      <c r="K554" s="2"/>
      <c r="L554" s="2"/>
      <c r="M554" s="2"/>
      <c r="N554" s="2"/>
      <c r="O554" s="12"/>
      <c r="P554" s="2"/>
      <c r="Q554" s="2"/>
      <c r="R554" s="2"/>
      <c r="T554" s="14"/>
      <c r="V554" s="15"/>
      <c r="W554" s="16"/>
      <c r="X554" s="14"/>
      <c r="AB554" s="4"/>
    </row>
    <row r="555" customFormat="false" ht="15.75" hidden="false" customHeight="false" outlineLevel="0" collapsed="false">
      <c r="A555" s="2"/>
      <c r="K555" s="2"/>
      <c r="L555" s="2"/>
      <c r="M555" s="2"/>
      <c r="N555" s="2"/>
      <c r="O555" s="12"/>
      <c r="P555" s="2"/>
      <c r="Q555" s="2"/>
      <c r="R555" s="2"/>
      <c r="T555" s="14"/>
      <c r="V555" s="15"/>
      <c r="W555" s="16"/>
      <c r="X555" s="14"/>
      <c r="AB555" s="4"/>
    </row>
    <row r="556" customFormat="false" ht="15.75" hidden="false" customHeight="false" outlineLevel="0" collapsed="false">
      <c r="A556" s="2"/>
      <c r="K556" s="2"/>
      <c r="L556" s="2"/>
      <c r="M556" s="2"/>
      <c r="N556" s="2"/>
      <c r="O556" s="12"/>
      <c r="P556" s="2"/>
      <c r="Q556" s="2"/>
      <c r="R556" s="2"/>
      <c r="T556" s="14"/>
      <c r="V556" s="15"/>
      <c r="W556" s="16"/>
      <c r="X556" s="14"/>
      <c r="AB556" s="4"/>
    </row>
    <row r="557" customFormat="false" ht="15.75" hidden="false" customHeight="false" outlineLevel="0" collapsed="false">
      <c r="A557" s="2"/>
      <c r="K557" s="2"/>
      <c r="L557" s="2"/>
      <c r="M557" s="2"/>
      <c r="N557" s="2"/>
      <c r="O557" s="12"/>
      <c r="P557" s="2"/>
      <c r="Q557" s="2"/>
      <c r="R557" s="2"/>
      <c r="T557" s="14"/>
      <c r="V557" s="15"/>
      <c r="W557" s="16"/>
      <c r="X557" s="14"/>
      <c r="AB557" s="4"/>
    </row>
    <row r="558" customFormat="false" ht="15.75" hidden="false" customHeight="false" outlineLevel="0" collapsed="false">
      <c r="A558" s="2"/>
      <c r="K558" s="2"/>
      <c r="L558" s="2"/>
      <c r="M558" s="2"/>
      <c r="N558" s="2"/>
      <c r="O558" s="12"/>
      <c r="P558" s="2"/>
      <c r="Q558" s="2"/>
      <c r="R558" s="2"/>
      <c r="T558" s="14"/>
      <c r="V558" s="15"/>
      <c r="W558" s="16"/>
      <c r="X558" s="14"/>
      <c r="AB558" s="4"/>
    </row>
    <row r="559" customFormat="false" ht="15.75" hidden="false" customHeight="false" outlineLevel="0" collapsed="false">
      <c r="A559" s="2"/>
      <c r="K559" s="2"/>
      <c r="L559" s="2"/>
      <c r="M559" s="2"/>
      <c r="N559" s="2"/>
      <c r="O559" s="12"/>
      <c r="P559" s="2"/>
      <c r="Q559" s="2"/>
      <c r="R559" s="2"/>
      <c r="T559" s="14"/>
      <c r="V559" s="15"/>
      <c r="W559" s="16"/>
      <c r="X559" s="14"/>
      <c r="AB559" s="4"/>
    </row>
    <row r="560" customFormat="false" ht="15.75" hidden="false" customHeight="false" outlineLevel="0" collapsed="false">
      <c r="A560" s="2"/>
      <c r="K560" s="2"/>
      <c r="L560" s="2"/>
      <c r="M560" s="2"/>
      <c r="N560" s="2"/>
      <c r="O560" s="12"/>
      <c r="P560" s="2"/>
      <c r="Q560" s="2"/>
      <c r="R560" s="2"/>
      <c r="T560" s="14"/>
      <c r="V560" s="15"/>
      <c r="W560" s="16"/>
      <c r="X560" s="14"/>
      <c r="AB560" s="4"/>
    </row>
    <row r="561" customFormat="false" ht="15.75" hidden="false" customHeight="false" outlineLevel="0" collapsed="false">
      <c r="A561" s="2"/>
      <c r="K561" s="2"/>
      <c r="L561" s="2"/>
      <c r="M561" s="2"/>
      <c r="N561" s="2"/>
      <c r="O561" s="12"/>
      <c r="P561" s="2"/>
      <c r="Q561" s="2"/>
      <c r="R561" s="2"/>
      <c r="T561" s="14"/>
      <c r="V561" s="15"/>
      <c r="W561" s="16"/>
      <c r="X561" s="14"/>
      <c r="AB561" s="4"/>
    </row>
    <row r="562" customFormat="false" ht="15.75" hidden="false" customHeight="false" outlineLevel="0" collapsed="false">
      <c r="A562" s="2"/>
      <c r="K562" s="2"/>
      <c r="L562" s="2"/>
      <c r="M562" s="2"/>
      <c r="N562" s="2"/>
      <c r="O562" s="12"/>
      <c r="P562" s="2"/>
      <c r="Q562" s="2"/>
      <c r="R562" s="2"/>
      <c r="T562" s="14"/>
      <c r="V562" s="15"/>
      <c r="W562" s="16"/>
      <c r="X562" s="14"/>
      <c r="AB562" s="4"/>
    </row>
    <row r="563" customFormat="false" ht="15.75" hidden="false" customHeight="false" outlineLevel="0" collapsed="false">
      <c r="A563" s="2"/>
      <c r="K563" s="2"/>
      <c r="L563" s="2"/>
      <c r="M563" s="2"/>
      <c r="N563" s="2"/>
      <c r="O563" s="12"/>
      <c r="P563" s="2"/>
      <c r="Q563" s="2"/>
      <c r="R563" s="2"/>
      <c r="T563" s="14"/>
      <c r="V563" s="15"/>
      <c r="W563" s="16"/>
      <c r="X563" s="14"/>
      <c r="AB563" s="4"/>
    </row>
    <row r="564" customFormat="false" ht="15.75" hidden="false" customHeight="false" outlineLevel="0" collapsed="false">
      <c r="A564" s="2"/>
      <c r="K564" s="2"/>
      <c r="L564" s="2"/>
      <c r="M564" s="2"/>
      <c r="N564" s="2"/>
      <c r="O564" s="12"/>
      <c r="P564" s="2"/>
      <c r="Q564" s="2"/>
      <c r="R564" s="2"/>
      <c r="T564" s="14"/>
      <c r="V564" s="15"/>
      <c r="W564" s="16"/>
      <c r="X564" s="14"/>
      <c r="AB564" s="4"/>
    </row>
    <row r="565" customFormat="false" ht="15.75" hidden="false" customHeight="false" outlineLevel="0" collapsed="false">
      <c r="A565" s="2"/>
      <c r="K565" s="2"/>
      <c r="L565" s="2"/>
      <c r="M565" s="2"/>
      <c r="N565" s="2"/>
      <c r="O565" s="12"/>
      <c r="P565" s="2"/>
      <c r="Q565" s="2"/>
      <c r="R565" s="2"/>
      <c r="T565" s="14"/>
      <c r="V565" s="15"/>
      <c r="W565" s="16"/>
      <c r="X565" s="14"/>
      <c r="AB565" s="4"/>
    </row>
    <row r="566" customFormat="false" ht="15.75" hidden="false" customHeight="false" outlineLevel="0" collapsed="false">
      <c r="A566" s="2"/>
      <c r="K566" s="2"/>
      <c r="L566" s="2"/>
      <c r="M566" s="2"/>
      <c r="N566" s="2"/>
      <c r="O566" s="12"/>
      <c r="P566" s="2"/>
      <c r="Q566" s="2"/>
      <c r="R566" s="2"/>
      <c r="T566" s="14"/>
      <c r="V566" s="15"/>
      <c r="W566" s="16"/>
      <c r="X566" s="14"/>
      <c r="AB566" s="4"/>
    </row>
    <row r="567" customFormat="false" ht="15.75" hidden="false" customHeight="false" outlineLevel="0" collapsed="false">
      <c r="A567" s="2"/>
      <c r="K567" s="2"/>
      <c r="L567" s="2"/>
      <c r="M567" s="2"/>
      <c r="N567" s="2"/>
      <c r="O567" s="12"/>
      <c r="P567" s="2"/>
      <c r="Q567" s="2"/>
      <c r="R567" s="2"/>
      <c r="T567" s="14"/>
      <c r="V567" s="15"/>
      <c r="W567" s="16"/>
      <c r="X567" s="14"/>
      <c r="AB567" s="4"/>
    </row>
    <row r="568" customFormat="false" ht="15.75" hidden="false" customHeight="false" outlineLevel="0" collapsed="false">
      <c r="A568" s="2"/>
      <c r="K568" s="2"/>
      <c r="L568" s="2"/>
      <c r="M568" s="2"/>
      <c r="N568" s="2"/>
      <c r="O568" s="12"/>
      <c r="P568" s="2"/>
      <c r="Q568" s="2"/>
      <c r="R568" s="2"/>
      <c r="T568" s="14"/>
      <c r="V568" s="15"/>
      <c r="W568" s="16"/>
      <c r="X568" s="14"/>
      <c r="AB568" s="4"/>
    </row>
    <row r="569" customFormat="false" ht="15.75" hidden="false" customHeight="false" outlineLevel="0" collapsed="false">
      <c r="A569" s="2"/>
      <c r="K569" s="2"/>
      <c r="L569" s="2"/>
      <c r="M569" s="2"/>
      <c r="N569" s="2"/>
      <c r="O569" s="12"/>
      <c r="P569" s="2"/>
      <c r="Q569" s="2"/>
      <c r="R569" s="2"/>
      <c r="T569" s="14"/>
      <c r="V569" s="15"/>
      <c r="W569" s="16"/>
      <c r="X569" s="14"/>
      <c r="AB569" s="4"/>
    </row>
    <row r="570" customFormat="false" ht="15.75" hidden="false" customHeight="false" outlineLevel="0" collapsed="false">
      <c r="A570" s="2"/>
      <c r="K570" s="2"/>
      <c r="L570" s="2"/>
      <c r="M570" s="2"/>
      <c r="N570" s="2"/>
      <c r="O570" s="12"/>
      <c r="P570" s="2"/>
      <c r="Q570" s="2"/>
      <c r="R570" s="2"/>
      <c r="T570" s="14"/>
      <c r="V570" s="15"/>
      <c r="W570" s="16"/>
      <c r="X570" s="14"/>
      <c r="AB570" s="4"/>
    </row>
    <row r="571" customFormat="false" ht="15.75" hidden="false" customHeight="false" outlineLevel="0" collapsed="false">
      <c r="A571" s="2"/>
      <c r="K571" s="2"/>
      <c r="L571" s="2"/>
      <c r="M571" s="2"/>
      <c r="N571" s="2"/>
      <c r="O571" s="12"/>
      <c r="P571" s="2"/>
      <c r="Q571" s="2"/>
      <c r="R571" s="2"/>
      <c r="T571" s="14"/>
      <c r="V571" s="15"/>
      <c r="W571" s="16"/>
      <c r="X571" s="14"/>
      <c r="AB571" s="4"/>
    </row>
    <row r="572" customFormat="false" ht="15.75" hidden="false" customHeight="false" outlineLevel="0" collapsed="false">
      <c r="A572" s="2"/>
      <c r="K572" s="2"/>
      <c r="L572" s="2"/>
      <c r="M572" s="2"/>
      <c r="N572" s="2"/>
      <c r="O572" s="12"/>
      <c r="P572" s="2"/>
      <c r="Q572" s="2"/>
      <c r="R572" s="2"/>
      <c r="T572" s="14"/>
      <c r="V572" s="15"/>
      <c r="W572" s="16"/>
      <c r="X572" s="14"/>
      <c r="AB572" s="4"/>
    </row>
    <row r="573" customFormat="false" ht="15.75" hidden="false" customHeight="false" outlineLevel="0" collapsed="false">
      <c r="A573" s="2"/>
      <c r="K573" s="2"/>
      <c r="L573" s="2"/>
      <c r="M573" s="2"/>
      <c r="N573" s="2"/>
      <c r="O573" s="12"/>
      <c r="P573" s="2"/>
      <c r="Q573" s="2"/>
      <c r="R573" s="2"/>
      <c r="T573" s="14"/>
      <c r="V573" s="15"/>
      <c r="W573" s="16"/>
      <c r="X573" s="14"/>
      <c r="AB573" s="4"/>
    </row>
    <row r="574" customFormat="false" ht="15.75" hidden="false" customHeight="false" outlineLevel="0" collapsed="false">
      <c r="A574" s="2"/>
      <c r="K574" s="2"/>
      <c r="L574" s="2"/>
      <c r="M574" s="2"/>
      <c r="N574" s="2"/>
      <c r="O574" s="12"/>
      <c r="P574" s="2"/>
      <c r="Q574" s="2"/>
      <c r="R574" s="2"/>
      <c r="T574" s="14"/>
      <c r="V574" s="15"/>
      <c r="W574" s="16"/>
      <c r="X574" s="14"/>
      <c r="AB574" s="4"/>
    </row>
    <row r="575" customFormat="false" ht="15.75" hidden="false" customHeight="false" outlineLevel="0" collapsed="false">
      <c r="A575" s="2"/>
      <c r="K575" s="2"/>
      <c r="L575" s="2"/>
      <c r="M575" s="2"/>
      <c r="N575" s="2"/>
      <c r="O575" s="12"/>
      <c r="P575" s="2"/>
      <c r="Q575" s="2"/>
      <c r="R575" s="2"/>
      <c r="T575" s="14"/>
      <c r="V575" s="15"/>
      <c r="W575" s="16"/>
      <c r="X575" s="14"/>
      <c r="AB575" s="4"/>
    </row>
    <row r="576" customFormat="false" ht="15.75" hidden="false" customHeight="false" outlineLevel="0" collapsed="false">
      <c r="A576" s="2"/>
      <c r="K576" s="2"/>
      <c r="L576" s="2"/>
      <c r="M576" s="2"/>
      <c r="N576" s="2"/>
      <c r="O576" s="12"/>
      <c r="P576" s="2"/>
      <c r="Q576" s="2"/>
      <c r="R576" s="2"/>
      <c r="T576" s="14"/>
      <c r="V576" s="15"/>
      <c r="W576" s="16"/>
      <c r="X576" s="14"/>
      <c r="AB576" s="4"/>
    </row>
    <row r="577" customFormat="false" ht="15.75" hidden="false" customHeight="false" outlineLevel="0" collapsed="false">
      <c r="A577" s="2"/>
      <c r="K577" s="2"/>
      <c r="L577" s="2"/>
      <c r="M577" s="2"/>
      <c r="N577" s="2"/>
      <c r="O577" s="12"/>
      <c r="P577" s="2"/>
      <c r="Q577" s="2"/>
      <c r="R577" s="2"/>
      <c r="T577" s="14"/>
      <c r="V577" s="15"/>
      <c r="W577" s="16"/>
      <c r="X577" s="14"/>
      <c r="AB577" s="4"/>
    </row>
    <row r="578" customFormat="false" ht="15.75" hidden="false" customHeight="false" outlineLevel="0" collapsed="false">
      <c r="A578" s="2"/>
      <c r="K578" s="2"/>
      <c r="L578" s="2"/>
      <c r="M578" s="2"/>
      <c r="N578" s="2"/>
      <c r="O578" s="12"/>
      <c r="P578" s="2"/>
      <c r="Q578" s="2"/>
      <c r="R578" s="2"/>
      <c r="T578" s="14"/>
      <c r="V578" s="15"/>
      <c r="W578" s="16"/>
      <c r="X578" s="14"/>
      <c r="AB578" s="4"/>
    </row>
    <row r="579" customFormat="false" ht="15.75" hidden="false" customHeight="false" outlineLevel="0" collapsed="false">
      <c r="A579" s="2"/>
      <c r="K579" s="2"/>
      <c r="L579" s="2"/>
      <c r="M579" s="2"/>
      <c r="N579" s="2"/>
      <c r="O579" s="12"/>
      <c r="P579" s="2"/>
      <c r="Q579" s="2"/>
      <c r="R579" s="2"/>
      <c r="T579" s="14"/>
      <c r="V579" s="15"/>
      <c r="W579" s="16"/>
      <c r="X579" s="14"/>
      <c r="AB579" s="4"/>
    </row>
    <row r="580" customFormat="false" ht="15.75" hidden="false" customHeight="false" outlineLevel="0" collapsed="false">
      <c r="A580" s="2"/>
      <c r="K580" s="2"/>
      <c r="L580" s="2"/>
      <c r="M580" s="2"/>
      <c r="N580" s="2"/>
      <c r="O580" s="12"/>
      <c r="P580" s="2"/>
      <c r="Q580" s="2"/>
      <c r="R580" s="2"/>
      <c r="T580" s="14"/>
      <c r="V580" s="15"/>
      <c r="W580" s="16"/>
      <c r="X580" s="14"/>
      <c r="AB580" s="4"/>
    </row>
    <row r="581" customFormat="false" ht="15.75" hidden="false" customHeight="false" outlineLevel="0" collapsed="false">
      <c r="A581" s="2"/>
      <c r="K581" s="2"/>
      <c r="L581" s="2"/>
      <c r="M581" s="2"/>
      <c r="N581" s="2"/>
      <c r="O581" s="12"/>
      <c r="P581" s="2"/>
      <c r="Q581" s="2"/>
      <c r="R581" s="2"/>
      <c r="T581" s="14"/>
      <c r="V581" s="15"/>
      <c r="W581" s="16"/>
      <c r="X581" s="14"/>
      <c r="AB581" s="4"/>
    </row>
    <row r="582" customFormat="false" ht="15.75" hidden="false" customHeight="false" outlineLevel="0" collapsed="false">
      <c r="A582" s="2"/>
      <c r="K582" s="2"/>
      <c r="L582" s="2"/>
      <c r="M582" s="2"/>
      <c r="N582" s="2"/>
      <c r="O582" s="12"/>
      <c r="P582" s="2"/>
      <c r="Q582" s="2"/>
      <c r="R582" s="2"/>
      <c r="T582" s="14"/>
      <c r="V582" s="15"/>
      <c r="W582" s="16"/>
      <c r="X582" s="14"/>
      <c r="AB582" s="4"/>
    </row>
    <row r="583" customFormat="false" ht="15.75" hidden="false" customHeight="false" outlineLevel="0" collapsed="false">
      <c r="A583" s="2"/>
      <c r="K583" s="2"/>
      <c r="L583" s="2"/>
      <c r="M583" s="2"/>
      <c r="N583" s="2"/>
      <c r="O583" s="12"/>
      <c r="P583" s="2"/>
      <c r="Q583" s="2"/>
      <c r="R583" s="2"/>
      <c r="T583" s="14"/>
      <c r="V583" s="15"/>
      <c r="W583" s="16"/>
      <c r="X583" s="14"/>
      <c r="AB583" s="4"/>
    </row>
    <row r="584" customFormat="false" ht="15.75" hidden="false" customHeight="false" outlineLevel="0" collapsed="false">
      <c r="A584" s="2"/>
      <c r="K584" s="2"/>
      <c r="L584" s="2"/>
      <c r="M584" s="2"/>
      <c r="N584" s="2"/>
      <c r="O584" s="12"/>
      <c r="P584" s="2"/>
      <c r="Q584" s="2"/>
      <c r="R584" s="2"/>
      <c r="T584" s="14"/>
      <c r="V584" s="15"/>
      <c r="W584" s="16"/>
      <c r="X584" s="14"/>
      <c r="AB584" s="4"/>
    </row>
    <row r="585" customFormat="false" ht="15.75" hidden="false" customHeight="false" outlineLevel="0" collapsed="false">
      <c r="A585" s="2"/>
      <c r="K585" s="2"/>
      <c r="L585" s="2"/>
      <c r="M585" s="2"/>
      <c r="N585" s="2"/>
      <c r="O585" s="12"/>
      <c r="P585" s="2"/>
      <c r="Q585" s="2"/>
      <c r="R585" s="2"/>
      <c r="T585" s="14"/>
      <c r="V585" s="15"/>
      <c r="W585" s="16"/>
      <c r="X585" s="14"/>
      <c r="AB585" s="4"/>
    </row>
    <row r="586" customFormat="false" ht="15.75" hidden="false" customHeight="false" outlineLevel="0" collapsed="false">
      <c r="A586" s="2"/>
      <c r="K586" s="2"/>
      <c r="L586" s="2"/>
      <c r="M586" s="2"/>
      <c r="N586" s="2"/>
      <c r="O586" s="12"/>
      <c r="P586" s="2"/>
      <c r="Q586" s="2"/>
      <c r="R586" s="2"/>
      <c r="T586" s="14"/>
      <c r="V586" s="15"/>
      <c r="W586" s="16"/>
      <c r="X586" s="14"/>
      <c r="AB586" s="4"/>
    </row>
    <row r="587" customFormat="false" ht="15.75" hidden="false" customHeight="false" outlineLevel="0" collapsed="false">
      <c r="A587" s="2"/>
      <c r="K587" s="2"/>
      <c r="L587" s="2"/>
      <c r="M587" s="2"/>
      <c r="N587" s="2"/>
      <c r="O587" s="12"/>
      <c r="P587" s="2"/>
      <c r="Q587" s="2"/>
      <c r="R587" s="2"/>
      <c r="T587" s="14"/>
      <c r="V587" s="15"/>
      <c r="W587" s="16"/>
      <c r="X587" s="14"/>
      <c r="AB587" s="4"/>
    </row>
    <row r="588" customFormat="false" ht="15.75" hidden="false" customHeight="false" outlineLevel="0" collapsed="false">
      <c r="A588" s="2"/>
      <c r="K588" s="2"/>
      <c r="L588" s="2"/>
      <c r="M588" s="2"/>
      <c r="N588" s="2"/>
      <c r="O588" s="12"/>
      <c r="P588" s="2"/>
      <c r="Q588" s="2"/>
      <c r="R588" s="2"/>
      <c r="T588" s="14"/>
      <c r="V588" s="15"/>
      <c r="W588" s="16"/>
      <c r="X588" s="14"/>
      <c r="AB588" s="4"/>
    </row>
    <row r="589" customFormat="false" ht="15.75" hidden="false" customHeight="false" outlineLevel="0" collapsed="false">
      <c r="A589" s="2"/>
      <c r="K589" s="2"/>
      <c r="L589" s="2"/>
      <c r="M589" s="2"/>
      <c r="N589" s="2"/>
      <c r="O589" s="12"/>
      <c r="P589" s="2"/>
      <c r="Q589" s="2"/>
      <c r="R589" s="2"/>
      <c r="T589" s="14"/>
      <c r="V589" s="15"/>
      <c r="W589" s="16"/>
      <c r="X589" s="14"/>
      <c r="AB589" s="4"/>
    </row>
    <row r="590" customFormat="false" ht="15.75" hidden="false" customHeight="false" outlineLevel="0" collapsed="false">
      <c r="A590" s="2"/>
      <c r="K590" s="2"/>
      <c r="L590" s="2"/>
      <c r="M590" s="2"/>
      <c r="N590" s="2"/>
      <c r="O590" s="12"/>
      <c r="P590" s="2"/>
      <c r="Q590" s="2"/>
      <c r="R590" s="2"/>
      <c r="T590" s="14"/>
      <c r="V590" s="15"/>
      <c r="W590" s="16"/>
      <c r="X590" s="14"/>
      <c r="AB590" s="4"/>
    </row>
    <row r="591" customFormat="false" ht="15.75" hidden="false" customHeight="false" outlineLevel="0" collapsed="false">
      <c r="A591" s="2"/>
      <c r="K591" s="2"/>
      <c r="L591" s="2"/>
      <c r="M591" s="2"/>
      <c r="N591" s="2"/>
      <c r="O591" s="12"/>
      <c r="P591" s="2"/>
      <c r="Q591" s="2"/>
      <c r="R591" s="2"/>
      <c r="T591" s="14"/>
      <c r="V591" s="15"/>
      <c r="W591" s="16"/>
      <c r="X591" s="14"/>
      <c r="AB591" s="4"/>
    </row>
    <row r="592" customFormat="false" ht="15.75" hidden="false" customHeight="false" outlineLevel="0" collapsed="false">
      <c r="A592" s="2"/>
      <c r="K592" s="2"/>
      <c r="L592" s="2"/>
      <c r="M592" s="2"/>
      <c r="N592" s="2"/>
      <c r="O592" s="12"/>
      <c r="P592" s="2"/>
      <c r="Q592" s="2"/>
      <c r="R592" s="2"/>
      <c r="T592" s="14"/>
      <c r="V592" s="15"/>
      <c r="W592" s="16"/>
      <c r="X592" s="14"/>
      <c r="AB592" s="4"/>
    </row>
    <row r="593" customFormat="false" ht="15.75" hidden="false" customHeight="false" outlineLevel="0" collapsed="false">
      <c r="A593" s="2"/>
      <c r="K593" s="2"/>
      <c r="L593" s="2"/>
      <c r="M593" s="2"/>
      <c r="N593" s="2"/>
      <c r="O593" s="12"/>
      <c r="P593" s="2"/>
      <c r="Q593" s="2"/>
      <c r="R593" s="2"/>
      <c r="T593" s="14"/>
      <c r="V593" s="15"/>
      <c r="W593" s="16"/>
      <c r="X593" s="14"/>
      <c r="AB593" s="4"/>
    </row>
    <row r="594" customFormat="false" ht="15.75" hidden="false" customHeight="false" outlineLevel="0" collapsed="false">
      <c r="A594" s="2"/>
      <c r="K594" s="2"/>
      <c r="L594" s="2"/>
      <c r="M594" s="2"/>
      <c r="N594" s="2"/>
      <c r="O594" s="12"/>
      <c r="P594" s="2"/>
      <c r="Q594" s="2"/>
      <c r="R594" s="2"/>
      <c r="T594" s="14"/>
      <c r="V594" s="15"/>
      <c r="W594" s="16"/>
      <c r="X594" s="14"/>
      <c r="AB594" s="4"/>
    </row>
    <row r="595" customFormat="false" ht="15.75" hidden="false" customHeight="false" outlineLevel="0" collapsed="false">
      <c r="A595" s="2"/>
      <c r="K595" s="2"/>
      <c r="L595" s="2"/>
      <c r="M595" s="2"/>
      <c r="N595" s="2"/>
      <c r="O595" s="12"/>
      <c r="P595" s="2"/>
      <c r="Q595" s="2"/>
      <c r="R595" s="2"/>
      <c r="T595" s="14"/>
      <c r="V595" s="15"/>
      <c r="W595" s="16"/>
      <c r="X595" s="14"/>
      <c r="AB595" s="4"/>
    </row>
    <row r="596" customFormat="false" ht="15.75" hidden="false" customHeight="false" outlineLevel="0" collapsed="false">
      <c r="A596" s="2"/>
      <c r="K596" s="2"/>
      <c r="L596" s="2"/>
      <c r="M596" s="2"/>
      <c r="N596" s="2"/>
      <c r="O596" s="12"/>
      <c r="P596" s="2"/>
      <c r="Q596" s="2"/>
      <c r="R596" s="2"/>
      <c r="T596" s="14"/>
      <c r="V596" s="15"/>
      <c r="W596" s="16"/>
      <c r="X596" s="14"/>
      <c r="AB596" s="4"/>
    </row>
    <row r="597" customFormat="false" ht="15.75" hidden="false" customHeight="false" outlineLevel="0" collapsed="false">
      <c r="A597" s="2"/>
      <c r="K597" s="2"/>
      <c r="L597" s="2"/>
      <c r="M597" s="2"/>
      <c r="N597" s="2"/>
      <c r="O597" s="12"/>
      <c r="P597" s="2"/>
      <c r="Q597" s="2"/>
      <c r="R597" s="2"/>
      <c r="T597" s="14"/>
      <c r="V597" s="15"/>
      <c r="W597" s="16"/>
      <c r="X597" s="14"/>
      <c r="AB597" s="4"/>
    </row>
    <row r="598" customFormat="false" ht="15.75" hidden="false" customHeight="false" outlineLevel="0" collapsed="false">
      <c r="A598" s="2"/>
      <c r="K598" s="2"/>
      <c r="L598" s="2"/>
      <c r="M598" s="2"/>
      <c r="N598" s="2"/>
      <c r="O598" s="12"/>
      <c r="P598" s="2"/>
      <c r="Q598" s="2"/>
      <c r="R598" s="2"/>
      <c r="T598" s="14"/>
      <c r="V598" s="15"/>
      <c r="W598" s="16"/>
      <c r="X598" s="14"/>
      <c r="AB598" s="4"/>
    </row>
    <row r="599" customFormat="false" ht="15.75" hidden="false" customHeight="false" outlineLevel="0" collapsed="false">
      <c r="A599" s="2"/>
      <c r="K599" s="2"/>
      <c r="L599" s="2"/>
      <c r="M599" s="2"/>
      <c r="N599" s="2"/>
      <c r="O599" s="12"/>
      <c r="P599" s="2"/>
      <c r="Q599" s="2"/>
      <c r="R599" s="2"/>
      <c r="T599" s="14"/>
      <c r="V599" s="15"/>
      <c r="W599" s="16"/>
      <c r="X599" s="14"/>
      <c r="AB599" s="4"/>
    </row>
    <row r="600" customFormat="false" ht="15.75" hidden="false" customHeight="false" outlineLevel="0" collapsed="false">
      <c r="A600" s="2"/>
      <c r="K600" s="2"/>
      <c r="L600" s="2"/>
      <c r="M600" s="2"/>
      <c r="N600" s="2"/>
      <c r="O600" s="12"/>
      <c r="P600" s="2"/>
      <c r="Q600" s="2"/>
      <c r="R600" s="2"/>
      <c r="T600" s="14"/>
      <c r="V600" s="15"/>
      <c r="W600" s="16"/>
      <c r="X600" s="14"/>
      <c r="AB600" s="4"/>
    </row>
    <row r="601" customFormat="false" ht="15.75" hidden="false" customHeight="false" outlineLevel="0" collapsed="false">
      <c r="A601" s="2"/>
      <c r="K601" s="2"/>
      <c r="L601" s="2"/>
      <c r="M601" s="2"/>
      <c r="N601" s="2"/>
      <c r="O601" s="12"/>
      <c r="P601" s="2"/>
      <c r="Q601" s="2"/>
      <c r="R601" s="2"/>
      <c r="T601" s="14"/>
      <c r="V601" s="15"/>
      <c r="W601" s="16"/>
      <c r="X601" s="14"/>
      <c r="AB601" s="4"/>
    </row>
    <row r="602" customFormat="false" ht="15.75" hidden="false" customHeight="false" outlineLevel="0" collapsed="false">
      <c r="A602" s="2"/>
      <c r="K602" s="2"/>
      <c r="L602" s="2"/>
      <c r="M602" s="2"/>
      <c r="N602" s="2"/>
      <c r="O602" s="12"/>
      <c r="P602" s="2"/>
      <c r="Q602" s="2"/>
      <c r="R602" s="2"/>
      <c r="T602" s="14"/>
      <c r="V602" s="15"/>
      <c r="W602" s="16"/>
      <c r="X602" s="14"/>
      <c r="AB602" s="4"/>
    </row>
    <row r="603" customFormat="false" ht="15.75" hidden="false" customHeight="false" outlineLevel="0" collapsed="false">
      <c r="A603" s="2"/>
      <c r="K603" s="2"/>
      <c r="L603" s="2"/>
      <c r="M603" s="2"/>
      <c r="N603" s="2"/>
      <c r="O603" s="12"/>
      <c r="P603" s="2"/>
      <c r="Q603" s="2"/>
      <c r="R603" s="2"/>
      <c r="T603" s="14"/>
      <c r="V603" s="15"/>
      <c r="W603" s="16"/>
      <c r="X603" s="14"/>
      <c r="AB603" s="4"/>
    </row>
    <row r="604" customFormat="false" ht="15.75" hidden="false" customHeight="false" outlineLevel="0" collapsed="false">
      <c r="A604" s="2"/>
      <c r="K604" s="2"/>
      <c r="L604" s="2"/>
      <c r="M604" s="2"/>
      <c r="N604" s="2"/>
      <c r="O604" s="12"/>
      <c r="P604" s="2"/>
      <c r="Q604" s="2"/>
      <c r="R604" s="2"/>
      <c r="T604" s="14"/>
      <c r="V604" s="15"/>
      <c r="W604" s="16"/>
      <c r="X604" s="14"/>
      <c r="AB604" s="4"/>
    </row>
    <row r="605" customFormat="false" ht="15.75" hidden="false" customHeight="false" outlineLevel="0" collapsed="false">
      <c r="A605" s="2"/>
      <c r="K605" s="2"/>
      <c r="L605" s="2"/>
      <c r="M605" s="2"/>
      <c r="N605" s="2"/>
      <c r="O605" s="12"/>
      <c r="P605" s="2"/>
      <c r="Q605" s="2"/>
      <c r="R605" s="2"/>
      <c r="T605" s="14"/>
      <c r="V605" s="15"/>
      <c r="W605" s="16"/>
      <c r="X605" s="14"/>
      <c r="AB605" s="4"/>
    </row>
    <row r="606" customFormat="false" ht="15.75" hidden="false" customHeight="false" outlineLevel="0" collapsed="false">
      <c r="A606" s="2"/>
      <c r="K606" s="2"/>
      <c r="L606" s="2"/>
      <c r="M606" s="2"/>
      <c r="N606" s="2"/>
      <c r="O606" s="12"/>
      <c r="P606" s="2"/>
      <c r="Q606" s="2"/>
      <c r="R606" s="2"/>
      <c r="T606" s="14"/>
      <c r="V606" s="15"/>
      <c r="W606" s="16"/>
      <c r="X606" s="14"/>
      <c r="AB606" s="4"/>
    </row>
    <row r="607" customFormat="false" ht="15.75" hidden="false" customHeight="false" outlineLevel="0" collapsed="false">
      <c r="A607" s="2"/>
      <c r="K607" s="2"/>
      <c r="L607" s="2"/>
      <c r="M607" s="2"/>
      <c r="N607" s="2"/>
      <c r="O607" s="12"/>
      <c r="P607" s="2"/>
      <c r="Q607" s="2"/>
      <c r="R607" s="2"/>
      <c r="T607" s="14"/>
      <c r="V607" s="15"/>
      <c r="W607" s="16"/>
      <c r="X607" s="14"/>
      <c r="AB607" s="4"/>
    </row>
    <row r="608" customFormat="false" ht="15.75" hidden="false" customHeight="false" outlineLevel="0" collapsed="false">
      <c r="A608" s="2"/>
      <c r="K608" s="2"/>
      <c r="L608" s="2"/>
      <c r="M608" s="2"/>
      <c r="N608" s="2"/>
      <c r="O608" s="12"/>
      <c r="P608" s="2"/>
      <c r="Q608" s="2"/>
      <c r="R608" s="2"/>
      <c r="T608" s="14"/>
      <c r="V608" s="15"/>
      <c r="W608" s="16"/>
      <c r="X608" s="14"/>
      <c r="AB608" s="4"/>
    </row>
    <row r="609" customFormat="false" ht="15.75" hidden="false" customHeight="false" outlineLevel="0" collapsed="false">
      <c r="A609" s="2"/>
      <c r="K609" s="2"/>
      <c r="L609" s="2"/>
      <c r="M609" s="2"/>
      <c r="N609" s="2"/>
      <c r="O609" s="12"/>
      <c r="P609" s="2"/>
      <c r="Q609" s="2"/>
      <c r="R609" s="2"/>
      <c r="T609" s="14"/>
      <c r="V609" s="15"/>
      <c r="W609" s="16"/>
      <c r="X609" s="14"/>
      <c r="AB609" s="4"/>
    </row>
    <row r="610" customFormat="false" ht="15.75" hidden="false" customHeight="false" outlineLevel="0" collapsed="false">
      <c r="A610" s="2"/>
      <c r="K610" s="2"/>
      <c r="L610" s="2"/>
      <c r="M610" s="2"/>
      <c r="N610" s="2"/>
      <c r="O610" s="12"/>
      <c r="P610" s="2"/>
      <c r="Q610" s="2"/>
      <c r="R610" s="2"/>
      <c r="T610" s="14"/>
      <c r="V610" s="15"/>
      <c r="W610" s="16"/>
      <c r="X610" s="14"/>
      <c r="AB610" s="4"/>
    </row>
    <row r="611" customFormat="false" ht="15.75" hidden="false" customHeight="false" outlineLevel="0" collapsed="false">
      <c r="A611" s="2"/>
      <c r="K611" s="2"/>
      <c r="L611" s="2"/>
      <c r="M611" s="2"/>
      <c r="N611" s="2"/>
      <c r="O611" s="12"/>
      <c r="P611" s="2"/>
      <c r="Q611" s="2"/>
      <c r="R611" s="2"/>
      <c r="T611" s="14"/>
      <c r="V611" s="15"/>
      <c r="W611" s="16"/>
      <c r="X611" s="14"/>
      <c r="AB611" s="4"/>
    </row>
    <row r="612" customFormat="false" ht="15.75" hidden="false" customHeight="false" outlineLevel="0" collapsed="false">
      <c r="A612" s="2"/>
      <c r="K612" s="2"/>
      <c r="L612" s="2"/>
      <c r="M612" s="2"/>
      <c r="N612" s="2"/>
      <c r="O612" s="12"/>
      <c r="P612" s="2"/>
      <c r="Q612" s="2"/>
      <c r="R612" s="2"/>
      <c r="T612" s="14"/>
      <c r="V612" s="15"/>
      <c r="W612" s="16"/>
      <c r="X612" s="14"/>
      <c r="AB612" s="4"/>
    </row>
    <row r="613" customFormat="false" ht="15.75" hidden="false" customHeight="false" outlineLevel="0" collapsed="false">
      <c r="A613" s="2"/>
      <c r="K613" s="2"/>
      <c r="L613" s="2"/>
      <c r="M613" s="2"/>
      <c r="N613" s="2"/>
      <c r="O613" s="12"/>
      <c r="P613" s="2"/>
      <c r="Q613" s="2"/>
      <c r="R613" s="2"/>
      <c r="T613" s="14"/>
      <c r="V613" s="15"/>
      <c r="W613" s="16"/>
      <c r="X613" s="14"/>
      <c r="AB613" s="4"/>
    </row>
    <row r="614" customFormat="false" ht="15.75" hidden="false" customHeight="false" outlineLevel="0" collapsed="false">
      <c r="A614" s="2"/>
      <c r="K614" s="2"/>
      <c r="L614" s="2"/>
      <c r="M614" s="2"/>
      <c r="N614" s="2"/>
      <c r="O614" s="12"/>
      <c r="P614" s="2"/>
      <c r="Q614" s="2"/>
      <c r="R614" s="2"/>
      <c r="T614" s="14"/>
      <c r="V614" s="15"/>
      <c r="W614" s="16"/>
      <c r="X614" s="14"/>
      <c r="AB614" s="4"/>
    </row>
    <row r="615" customFormat="false" ht="15.75" hidden="false" customHeight="false" outlineLevel="0" collapsed="false">
      <c r="A615" s="2"/>
      <c r="K615" s="2"/>
      <c r="L615" s="2"/>
      <c r="M615" s="2"/>
      <c r="N615" s="2"/>
      <c r="O615" s="12"/>
      <c r="P615" s="2"/>
      <c r="Q615" s="2"/>
      <c r="R615" s="2"/>
      <c r="T615" s="14"/>
      <c r="V615" s="15"/>
      <c r="W615" s="16"/>
      <c r="X615" s="14"/>
      <c r="AB615" s="4"/>
    </row>
    <row r="616" customFormat="false" ht="15.75" hidden="false" customHeight="false" outlineLevel="0" collapsed="false">
      <c r="A616" s="2"/>
      <c r="K616" s="2"/>
      <c r="L616" s="2"/>
      <c r="M616" s="2"/>
      <c r="N616" s="2"/>
      <c r="O616" s="12"/>
      <c r="P616" s="2"/>
      <c r="Q616" s="2"/>
      <c r="R616" s="2"/>
      <c r="T616" s="14"/>
      <c r="V616" s="15"/>
      <c r="W616" s="16"/>
      <c r="X616" s="14"/>
      <c r="AB616" s="4"/>
    </row>
    <row r="617" customFormat="false" ht="15.75" hidden="false" customHeight="false" outlineLevel="0" collapsed="false">
      <c r="A617" s="2"/>
      <c r="K617" s="2"/>
      <c r="L617" s="2"/>
      <c r="M617" s="2"/>
      <c r="N617" s="2"/>
      <c r="O617" s="12"/>
      <c r="P617" s="2"/>
      <c r="Q617" s="2"/>
      <c r="R617" s="2"/>
      <c r="T617" s="14"/>
      <c r="V617" s="15"/>
      <c r="W617" s="16"/>
      <c r="X617" s="14"/>
      <c r="AB617" s="4"/>
    </row>
    <row r="618" customFormat="false" ht="15.75" hidden="false" customHeight="false" outlineLevel="0" collapsed="false">
      <c r="A618" s="2"/>
      <c r="K618" s="2"/>
      <c r="L618" s="2"/>
      <c r="M618" s="2"/>
      <c r="N618" s="2"/>
      <c r="O618" s="12"/>
      <c r="P618" s="2"/>
      <c r="Q618" s="2"/>
      <c r="R618" s="2"/>
      <c r="T618" s="14"/>
      <c r="V618" s="15"/>
      <c r="W618" s="16"/>
      <c r="X618" s="14"/>
      <c r="AB618" s="4"/>
    </row>
    <row r="619" customFormat="false" ht="15.75" hidden="false" customHeight="false" outlineLevel="0" collapsed="false">
      <c r="A619" s="2"/>
      <c r="K619" s="2"/>
      <c r="L619" s="2"/>
      <c r="M619" s="2"/>
      <c r="N619" s="2"/>
      <c r="O619" s="12"/>
      <c r="P619" s="2"/>
      <c r="Q619" s="2"/>
      <c r="R619" s="2"/>
      <c r="T619" s="14"/>
      <c r="V619" s="15"/>
      <c r="W619" s="16"/>
      <c r="X619" s="14"/>
      <c r="AB619" s="4"/>
    </row>
    <row r="620" customFormat="false" ht="15.75" hidden="false" customHeight="false" outlineLevel="0" collapsed="false">
      <c r="A620" s="2"/>
      <c r="K620" s="2"/>
      <c r="L620" s="2"/>
      <c r="M620" s="2"/>
      <c r="N620" s="2"/>
      <c r="O620" s="12"/>
      <c r="P620" s="2"/>
      <c r="Q620" s="2"/>
      <c r="R620" s="2"/>
      <c r="T620" s="14"/>
      <c r="V620" s="15"/>
      <c r="W620" s="16"/>
      <c r="X620" s="14"/>
      <c r="AB620" s="4"/>
    </row>
    <row r="621" customFormat="false" ht="15.75" hidden="false" customHeight="false" outlineLevel="0" collapsed="false">
      <c r="A621" s="2"/>
      <c r="K621" s="2"/>
      <c r="L621" s="2"/>
      <c r="M621" s="2"/>
      <c r="N621" s="2"/>
      <c r="O621" s="12"/>
      <c r="P621" s="2"/>
      <c r="Q621" s="2"/>
      <c r="R621" s="2"/>
      <c r="T621" s="14"/>
      <c r="V621" s="15"/>
      <c r="W621" s="16"/>
      <c r="X621" s="14"/>
      <c r="AB621" s="4"/>
    </row>
    <row r="622" customFormat="false" ht="15.75" hidden="false" customHeight="false" outlineLevel="0" collapsed="false">
      <c r="A622" s="2"/>
      <c r="K622" s="2"/>
      <c r="L622" s="2"/>
      <c r="M622" s="2"/>
      <c r="N622" s="2"/>
      <c r="O622" s="12"/>
      <c r="P622" s="2"/>
      <c r="Q622" s="2"/>
      <c r="R622" s="2"/>
      <c r="T622" s="14"/>
      <c r="V622" s="15"/>
      <c r="W622" s="16"/>
      <c r="X622" s="14"/>
      <c r="AB622" s="4"/>
    </row>
    <row r="623" customFormat="false" ht="15.75" hidden="false" customHeight="false" outlineLevel="0" collapsed="false">
      <c r="A623" s="2"/>
      <c r="K623" s="2"/>
      <c r="L623" s="2"/>
      <c r="M623" s="2"/>
      <c r="N623" s="2"/>
      <c r="O623" s="12"/>
      <c r="P623" s="2"/>
      <c r="Q623" s="2"/>
      <c r="R623" s="2"/>
      <c r="T623" s="14"/>
      <c r="V623" s="15"/>
      <c r="W623" s="16"/>
      <c r="X623" s="14"/>
      <c r="AB623" s="4"/>
    </row>
    <row r="624" customFormat="false" ht="15.75" hidden="false" customHeight="false" outlineLevel="0" collapsed="false">
      <c r="A624" s="2"/>
      <c r="K624" s="2"/>
      <c r="L624" s="2"/>
      <c r="M624" s="2"/>
      <c r="N624" s="2"/>
      <c r="O624" s="12"/>
      <c r="P624" s="2"/>
      <c r="Q624" s="2"/>
      <c r="R624" s="2"/>
      <c r="T624" s="14"/>
      <c r="V624" s="15"/>
      <c r="W624" s="16"/>
      <c r="X624" s="14"/>
      <c r="AB624" s="4"/>
    </row>
    <row r="625" customFormat="false" ht="15.75" hidden="false" customHeight="false" outlineLevel="0" collapsed="false">
      <c r="A625" s="2"/>
      <c r="K625" s="2"/>
      <c r="L625" s="2"/>
      <c r="M625" s="2"/>
      <c r="N625" s="2"/>
      <c r="O625" s="12"/>
      <c r="P625" s="2"/>
      <c r="Q625" s="2"/>
      <c r="R625" s="2"/>
      <c r="T625" s="14"/>
      <c r="V625" s="15"/>
      <c r="W625" s="16"/>
      <c r="X625" s="14"/>
      <c r="AB625" s="4"/>
    </row>
    <row r="626" customFormat="false" ht="15.75" hidden="false" customHeight="false" outlineLevel="0" collapsed="false">
      <c r="A626" s="2"/>
      <c r="K626" s="2"/>
      <c r="L626" s="2"/>
      <c r="M626" s="2"/>
      <c r="N626" s="2"/>
      <c r="O626" s="12"/>
      <c r="P626" s="2"/>
      <c r="Q626" s="2"/>
      <c r="R626" s="2"/>
      <c r="T626" s="14"/>
      <c r="V626" s="15"/>
      <c r="W626" s="16"/>
      <c r="X626" s="14"/>
      <c r="AB626" s="4"/>
    </row>
    <row r="627" customFormat="false" ht="15.75" hidden="false" customHeight="false" outlineLevel="0" collapsed="false">
      <c r="A627" s="2"/>
      <c r="K627" s="2"/>
      <c r="L627" s="2"/>
      <c r="M627" s="2"/>
      <c r="N627" s="2"/>
      <c r="O627" s="12"/>
      <c r="P627" s="2"/>
      <c r="Q627" s="2"/>
      <c r="R627" s="2"/>
      <c r="T627" s="14"/>
      <c r="V627" s="15"/>
      <c r="W627" s="16"/>
      <c r="X627" s="14"/>
      <c r="AB627" s="4"/>
    </row>
    <row r="628" customFormat="false" ht="15.75" hidden="false" customHeight="false" outlineLevel="0" collapsed="false">
      <c r="A628" s="2"/>
      <c r="K628" s="2"/>
      <c r="L628" s="2"/>
      <c r="M628" s="2"/>
      <c r="N628" s="2"/>
      <c r="O628" s="12"/>
      <c r="P628" s="2"/>
      <c r="Q628" s="2"/>
      <c r="R628" s="2"/>
      <c r="T628" s="14"/>
      <c r="V628" s="15"/>
      <c r="W628" s="16"/>
      <c r="X628" s="14"/>
      <c r="AB628" s="4"/>
    </row>
    <row r="629" customFormat="false" ht="15.75" hidden="false" customHeight="false" outlineLevel="0" collapsed="false">
      <c r="A629" s="2"/>
      <c r="K629" s="2"/>
      <c r="L629" s="2"/>
      <c r="M629" s="2"/>
      <c r="N629" s="2"/>
      <c r="O629" s="12"/>
      <c r="P629" s="2"/>
      <c r="Q629" s="2"/>
      <c r="R629" s="2"/>
      <c r="T629" s="14"/>
      <c r="V629" s="15"/>
      <c r="W629" s="16"/>
      <c r="X629" s="14"/>
      <c r="AB629" s="4"/>
    </row>
    <row r="630" customFormat="false" ht="15.75" hidden="false" customHeight="false" outlineLevel="0" collapsed="false">
      <c r="A630" s="2"/>
      <c r="K630" s="2"/>
      <c r="L630" s="2"/>
      <c r="M630" s="2"/>
      <c r="N630" s="2"/>
      <c r="O630" s="12"/>
      <c r="P630" s="2"/>
      <c r="Q630" s="2"/>
      <c r="R630" s="2"/>
      <c r="T630" s="14"/>
      <c r="V630" s="15"/>
      <c r="W630" s="16"/>
      <c r="X630" s="14"/>
      <c r="AB630" s="4"/>
    </row>
    <row r="631" customFormat="false" ht="15.75" hidden="false" customHeight="false" outlineLevel="0" collapsed="false">
      <c r="A631" s="2"/>
      <c r="K631" s="2"/>
      <c r="L631" s="2"/>
      <c r="M631" s="2"/>
      <c r="N631" s="2"/>
      <c r="O631" s="12"/>
      <c r="P631" s="2"/>
      <c r="Q631" s="2"/>
      <c r="R631" s="2"/>
      <c r="T631" s="14"/>
      <c r="V631" s="15"/>
      <c r="W631" s="16"/>
      <c r="X631" s="14"/>
      <c r="AB631" s="4"/>
    </row>
    <row r="632" customFormat="false" ht="15.75" hidden="false" customHeight="false" outlineLevel="0" collapsed="false">
      <c r="A632" s="2"/>
      <c r="K632" s="2"/>
      <c r="L632" s="2"/>
      <c r="M632" s="2"/>
      <c r="N632" s="2"/>
      <c r="O632" s="12"/>
      <c r="P632" s="2"/>
      <c r="Q632" s="2"/>
      <c r="R632" s="2"/>
      <c r="T632" s="14"/>
      <c r="V632" s="15"/>
      <c r="W632" s="16"/>
      <c r="X632" s="14"/>
      <c r="AB632" s="4"/>
    </row>
    <row r="633" customFormat="false" ht="15.75" hidden="false" customHeight="false" outlineLevel="0" collapsed="false">
      <c r="A633" s="2"/>
      <c r="K633" s="2"/>
      <c r="L633" s="2"/>
      <c r="M633" s="2"/>
      <c r="N633" s="2"/>
      <c r="O633" s="12"/>
      <c r="P633" s="2"/>
      <c r="Q633" s="2"/>
      <c r="R633" s="2"/>
      <c r="T633" s="14"/>
      <c r="V633" s="15"/>
      <c r="W633" s="16"/>
      <c r="X633" s="14"/>
      <c r="AB633" s="4"/>
    </row>
    <row r="634" customFormat="false" ht="15.75" hidden="false" customHeight="false" outlineLevel="0" collapsed="false">
      <c r="A634" s="2"/>
      <c r="K634" s="2"/>
      <c r="L634" s="2"/>
      <c r="M634" s="2"/>
      <c r="N634" s="2"/>
      <c r="O634" s="12"/>
      <c r="P634" s="2"/>
      <c r="Q634" s="2"/>
      <c r="R634" s="2"/>
      <c r="T634" s="14"/>
      <c r="V634" s="15"/>
      <c r="W634" s="16"/>
      <c r="X634" s="14"/>
      <c r="AB634" s="4"/>
    </row>
    <row r="635" customFormat="false" ht="15.75" hidden="false" customHeight="false" outlineLevel="0" collapsed="false">
      <c r="A635" s="2"/>
      <c r="K635" s="2"/>
      <c r="L635" s="2"/>
      <c r="M635" s="2"/>
      <c r="N635" s="2"/>
      <c r="O635" s="12"/>
      <c r="P635" s="2"/>
      <c r="Q635" s="2"/>
      <c r="R635" s="2"/>
      <c r="T635" s="14"/>
      <c r="V635" s="15"/>
      <c r="W635" s="16"/>
      <c r="X635" s="14"/>
      <c r="AB635" s="4"/>
    </row>
    <row r="636" customFormat="false" ht="15.75" hidden="false" customHeight="false" outlineLevel="0" collapsed="false">
      <c r="A636" s="2"/>
      <c r="K636" s="2"/>
      <c r="L636" s="2"/>
      <c r="M636" s="2"/>
      <c r="N636" s="2"/>
      <c r="O636" s="12"/>
      <c r="P636" s="2"/>
      <c r="Q636" s="2"/>
      <c r="R636" s="2"/>
      <c r="T636" s="14"/>
      <c r="V636" s="15"/>
      <c r="W636" s="16"/>
      <c r="X636" s="14"/>
      <c r="AB636" s="4"/>
    </row>
    <row r="637" customFormat="false" ht="15.75" hidden="false" customHeight="false" outlineLevel="0" collapsed="false">
      <c r="A637" s="2"/>
      <c r="K637" s="2"/>
      <c r="L637" s="2"/>
      <c r="M637" s="2"/>
      <c r="N637" s="2"/>
      <c r="O637" s="12"/>
      <c r="P637" s="2"/>
      <c r="Q637" s="2"/>
      <c r="R637" s="2"/>
      <c r="T637" s="14"/>
      <c r="V637" s="15"/>
      <c r="W637" s="16"/>
      <c r="X637" s="14"/>
      <c r="AB637" s="4"/>
    </row>
    <row r="638" customFormat="false" ht="15.75" hidden="false" customHeight="false" outlineLevel="0" collapsed="false">
      <c r="A638" s="2"/>
      <c r="K638" s="2"/>
      <c r="L638" s="2"/>
      <c r="M638" s="2"/>
      <c r="N638" s="2"/>
      <c r="O638" s="12"/>
      <c r="P638" s="2"/>
      <c r="Q638" s="2"/>
      <c r="R638" s="2"/>
      <c r="T638" s="14"/>
      <c r="V638" s="15"/>
      <c r="W638" s="16"/>
      <c r="X638" s="14"/>
      <c r="AB638" s="4"/>
    </row>
    <row r="639" customFormat="false" ht="15.75" hidden="false" customHeight="false" outlineLevel="0" collapsed="false">
      <c r="A639" s="2"/>
      <c r="K639" s="2"/>
      <c r="L639" s="2"/>
      <c r="M639" s="2"/>
      <c r="N639" s="2"/>
      <c r="O639" s="12"/>
      <c r="P639" s="2"/>
      <c r="Q639" s="2"/>
      <c r="R639" s="2"/>
      <c r="T639" s="14"/>
      <c r="V639" s="15"/>
      <c r="W639" s="16"/>
      <c r="X639" s="14"/>
      <c r="AB639" s="4"/>
    </row>
    <row r="640" customFormat="false" ht="15.75" hidden="false" customHeight="false" outlineLevel="0" collapsed="false">
      <c r="A640" s="2"/>
      <c r="K640" s="2"/>
      <c r="L640" s="2"/>
      <c r="M640" s="2"/>
      <c r="N640" s="2"/>
      <c r="O640" s="12"/>
      <c r="P640" s="2"/>
      <c r="Q640" s="2"/>
      <c r="R640" s="2"/>
      <c r="T640" s="14"/>
      <c r="V640" s="15"/>
      <c r="W640" s="16"/>
      <c r="X640" s="14"/>
      <c r="AB640" s="4"/>
    </row>
    <row r="641" customFormat="false" ht="15.75" hidden="false" customHeight="false" outlineLevel="0" collapsed="false">
      <c r="A641" s="2"/>
      <c r="K641" s="2"/>
      <c r="L641" s="2"/>
      <c r="M641" s="2"/>
      <c r="N641" s="2"/>
      <c r="O641" s="12"/>
      <c r="P641" s="2"/>
      <c r="Q641" s="2"/>
      <c r="R641" s="2"/>
      <c r="T641" s="14"/>
      <c r="V641" s="15"/>
      <c r="W641" s="16"/>
      <c r="X641" s="14"/>
      <c r="AB641" s="4"/>
    </row>
    <row r="642" customFormat="false" ht="15.75" hidden="false" customHeight="false" outlineLevel="0" collapsed="false">
      <c r="A642" s="2"/>
      <c r="K642" s="2"/>
      <c r="L642" s="2"/>
      <c r="M642" s="2"/>
      <c r="N642" s="2"/>
      <c r="O642" s="12"/>
      <c r="P642" s="2"/>
      <c r="Q642" s="2"/>
      <c r="R642" s="2"/>
      <c r="T642" s="14"/>
      <c r="V642" s="15"/>
      <c r="W642" s="16"/>
      <c r="X642" s="14"/>
      <c r="AB642" s="4"/>
    </row>
    <row r="643" customFormat="false" ht="15.75" hidden="false" customHeight="false" outlineLevel="0" collapsed="false">
      <c r="A643" s="2"/>
      <c r="K643" s="2"/>
      <c r="L643" s="2"/>
      <c r="M643" s="2"/>
      <c r="N643" s="2"/>
      <c r="O643" s="12"/>
      <c r="P643" s="2"/>
      <c r="Q643" s="2"/>
      <c r="R643" s="2"/>
      <c r="T643" s="14"/>
      <c r="V643" s="15"/>
      <c r="W643" s="16"/>
      <c r="X643" s="14"/>
      <c r="AB643" s="4"/>
    </row>
    <row r="644" customFormat="false" ht="15.75" hidden="false" customHeight="false" outlineLevel="0" collapsed="false">
      <c r="A644" s="2"/>
      <c r="K644" s="2"/>
      <c r="L644" s="2"/>
      <c r="M644" s="2"/>
      <c r="N644" s="2"/>
      <c r="O644" s="12"/>
      <c r="P644" s="2"/>
      <c r="Q644" s="2"/>
      <c r="R644" s="2"/>
      <c r="T644" s="14"/>
      <c r="V644" s="15"/>
      <c r="W644" s="16"/>
      <c r="X644" s="14"/>
      <c r="AB644" s="4"/>
    </row>
    <row r="645" customFormat="false" ht="15.75" hidden="false" customHeight="false" outlineLevel="0" collapsed="false">
      <c r="A645" s="2"/>
      <c r="K645" s="2"/>
      <c r="L645" s="2"/>
      <c r="M645" s="2"/>
      <c r="N645" s="2"/>
      <c r="O645" s="12"/>
      <c r="P645" s="2"/>
      <c r="Q645" s="2"/>
      <c r="R645" s="2"/>
      <c r="T645" s="14"/>
      <c r="V645" s="15"/>
      <c r="W645" s="16"/>
      <c r="X645" s="14"/>
      <c r="AB645" s="4"/>
    </row>
    <row r="646" customFormat="false" ht="15.75" hidden="false" customHeight="false" outlineLevel="0" collapsed="false">
      <c r="A646" s="2"/>
      <c r="K646" s="2"/>
      <c r="L646" s="2"/>
      <c r="M646" s="2"/>
      <c r="N646" s="2"/>
      <c r="O646" s="12"/>
      <c r="P646" s="2"/>
      <c r="Q646" s="2"/>
      <c r="R646" s="2"/>
      <c r="T646" s="14"/>
      <c r="V646" s="15"/>
      <c r="W646" s="16"/>
      <c r="X646" s="14"/>
      <c r="AB646" s="4"/>
    </row>
    <row r="647" customFormat="false" ht="15.75" hidden="false" customHeight="false" outlineLevel="0" collapsed="false">
      <c r="A647" s="2"/>
      <c r="K647" s="2"/>
      <c r="L647" s="2"/>
      <c r="M647" s="2"/>
      <c r="N647" s="2"/>
      <c r="O647" s="12"/>
      <c r="P647" s="2"/>
      <c r="Q647" s="2"/>
      <c r="R647" s="2"/>
      <c r="T647" s="14"/>
      <c r="V647" s="15"/>
      <c r="W647" s="16"/>
      <c r="X647" s="14"/>
      <c r="AB647" s="4"/>
    </row>
    <row r="648" customFormat="false" ht="15.75" hidden="false" customHeight="false" outlineLevel="0" collapsed="false">
      <c r="A648" s="2"/>
      <c r="K648" s="2"/>
      <c r="L648" s="2"/>
      <c r="M648" s="2"/>
      <c r="N648" s="2"/>
      <c r="O648" s="12"/>
      <c r="P648" s="2"/>
      <c r="Q648" s="2"/>
      <c r="R648" s="2"/>
      <c r="T648" s="14"/>
      <c r="V648" s="15"/>
      <c r="W648" s="16"/>
      <c r="X648" s="14"/>
      <c r="AB648" s="4"/>
    </row>
    <row r="649" customFormat="false" ht="15.75" hidden="false" customHeight="false" outlineLevel="0" collapsed="false">
      <c r="A649" s="2"/>
      <c r="K649" s="2"/>
      <c r="L649" s="2"/>
      <c r="M649" s="2"/>
      <c r="N649" s="2"/>
      <c r="O649" s="12"/>
      <c r="P649" s="2"/>
      <c r="Q649" s="2"/>
      <c r="R649" s="2"/>
      <c r="T649" s="14"/>
      <c r="V649" s="15"/>
      <c r="W649" s="16"/>
      <c r="X649" s="14"/>
      <c r="AB649" s="4"/>
    </row>
    <row r="650" customFormat="false" ht="15.75" hidden="false" customHeight="false" outlineLevel="0" collapsed="false">
      <c r="A650" s="2"/>
      <c r="K650" s="2"/>
      <c r="L650" s="2"/>
      <c r="M650" s="2"/>
      <c r="N650" s="2"/>
      <c r="O650" s="12"/>
      <c r="P650" s="2"/>
      <c r="Q650" s="2"/>
      <c r="R650" s="2"/>
      <c r="T650" s="14"/>
      <c r="V650" s="15"/>
      <c r="W650" s="16"/>
      <c r="X650" s="14"/>
      <c r="AB650" s="4"/>
    </row>
    <row r="651" customFormat="false" ht="15.75" hidden="false" customHeight="false" outlineLevel="0" collapsed="false">
      <c r="A651" s="2"/>
      <c r="K651" s="2"/>
      <c r="L651" s="2"/>
      <c r="M651" s="2"/>
      <c r="N651" s="2"/>
      <c r="O651" s="12"/>
      <c r="P651" s="2"/>
      <c r="Q651" s="2"/>
      <c r="R651" s="2"/>
      <c r="T651" s="14"/>
      <c r="V651" s="15"/>
      <c r="W651" s="16"/>
      <c r="X651" s="14"/>
      <c r="AB651" s="4"/>
    </row>
    <row r="652" customFormat="false" ht="15.75" hidden="false" customHeight="false" outlineLevel="0" collapsed="false">
      <c r="A652" s="2"/>
      <c r="K652" s="2"/>
      <c r="L652" s="2"/>
      <c r="M652" s="2"/>
      <c r="N652" s="2"/>
      <c r="O652" s="12"/>
      <c r="P652" s="2"/>
      <c r="Q652" s="2"/>
      <c r="R652" s="2"/>
      <c r="T652" s="14"/>
      <c r="V652" s="15"/>
      <c r="W652" s="16"/>
      <c r="X652" s="14"/>
      <c r="AB652" s="4"/>
    </row>
    <row r="653" customFormat="false" ht="15.75" hidden="false" customHeight="false" outlineLevel="0" collapsed="false">
      <c r="A653" s="2"/>
      <c r="K653" s="2"/>
      <c r="L653" s="2"/>
      <c r="M653" s="2"/>
      <c r="N653" s="2"/>
      <c r="O653" s="12"/>
      <c r="P653" s="2"/>
      <c r="Q653" s="2"/>
      <c r="R653" s="2"/>
      <c r="T653" s="14"/>
      <c r="V653" s="15"/>
      <c r="W653" s="16"/>
      <c r="X653" s="14"/>
      <c r="AB653" s="4"/>
    </row>
    <row r="654" customFormat="false" ht="15.75" hidden="false" customHeight="false" outlineLevel="0" collapsed="false">
      <c r="A654" s="2"/>
      <c r="K654" s="2"/>
      <c r="L654" s="2"/>
      <c r="M654" s="2"/>
      <c r="N654" s="2"/>
      <c r="O654" s="12"/>
      <c r="P654" s="2"/>
      <c r="Q654" s="2"/>
      <c r="R654" s="2"/>
      <c r="T654" s="14"/>
      <c r="V654" s="15"/>
      <c r="W654" s="16"/>
      <c r="X654" s="14"/>
      <c r="AB654" s="4"/>
    </row>
    <row r="655" customFormat="false" ht="15.75" hidden="false" customHeight="false" outlineLevel="0" collapsed="false">
      <c r="A655" s="2"/>
      <c r="K655" s="2"/>
      <c r="L655" s="2"/>
      <c r="M655" s="2"/>
      <c r="N655" s="2"/>
      <c r="O655" s="12"/>
      <c r="P655" s="2"/>
      <c r="Q655" s="2"/>
      <c r="R655" s="2"/>
      <c r="T655" s="14"/>
      <c r="V655" s="15"/>
      <c r="W655" s="16"/>
      <c r="X655" s="14"/>
      <c r="AB655" s="4"/>
    </row>
    <row r="656" customFormat="false" ht="15.75" hidden="false" customHeight="false" outlineLevel="0" collapsed="false">
      <c r="A656" s="2"/>
      <c r="K656" s="2"/>
      <c r="L656" s="2"/>
      <c r="M656" s="2"/>
      <c r="N656" s="2"/>
      <c r="O656" s="12"/>
      <c r="P656" s="2"/>
      <c r="Q656" s="2"/>
      <c r="R656" s="2"/>
      <c r="T656" s="14"/>
      <c r="V656" s="15"/>
      <c r="W656" s="16"/>
      <c r="X656" s="14"/>
      <c r="AB656" s="4"/>
    </row>
    <row r="657" customFormat="false" ht="15.75" hidden="false" customHeight="false" outlineLevel="0" collapsed="false">
      <c r="A657" s="2"/>
      <c r="K657" s="2"/>
      <c r="L657" s="2"/>
      <c r="M657" s="2"/>
      <c r="N657" s="2"/>
      <c r="O657" s="12"/>
      <c r="P657" s="2"/>
      <c r="Q657" s="2"/>
      <c r="R657" s="2"/>
      <c r="T657" s="14"/>
      <c r="V657" s="15"/>
      <c r="W657" s="16"/>
      <c r="X657" s="14"/>
      <c r="AB657" s="4"/>
    </row>
    <row r="658" customFormat="false" ht="15.75" hidden="false" customHeight="false" outlineLevel="0" collapsed="false">
      <c r="A658" s="2"/>
      <c r="K658" s="2"/>
      <c r="L658" s="2"/>
      <c r="M658" s="2"/>
      <c r="N658" s="2"/>
      <c r="O658" s="12"/>
      <c r="P658" s="2"/>
      <c r="Q658" s="2"/>
      <c r="R658" s="2"/>
      <c r="T658" s="14"/>
      <c r="V658" s="15"/>
      <c r="W658" s="16"/>
      <c r="X658" s="14"/>
      <c r="AB658" s="4"/>
    </row>
    <row r="659" customFormat="false" ht="15.75" hidden="false" customHeight="false" outlineLevel="0" collapsed="false">
      <c r="A659" s="2"/>
      <c r="K659" s="2"/>
      <c r="L659" s="2"/>
      <c r="M659" s="2"/>
      <c r="N659" s="2"/>
      <c r="O659" s="12"/>
      <c r="P659" s="2"/>
      <c r="Q659" s="2"/>
      <c r="R659" s="2"/>
      <c r="T659" s="14"/>
      <c r="V659" s="15"/>
      <c r="W659" s="16"/>
      <c r="X659" s="14"/>
      <c r="AB659" s="4"/>
    </row>
    <row r="660" customFormat="false" ht="15.75" hidden="false" customHeight="false" outlineLevel="0" collapsed="false">
      <c r="A660" s="2"/>
      <c r="K660" s="2"/>
      <c r="L660" s="2"/>
      <c r="M660" s="2"/>
      <c r="N660" s="2"/>
      <c r="O660" s="12"/>
      <c r="P660" s="2"/>
      <c r="Q660" s="2"/>
      <c r="R660" s="2"/>
      <c r="T660" s="14"/>
      <c r="V660" s="15"/>
      <c r="W660" s="16"/>
      <c r="X660" s="14"/>
      <c r="AB660" s="4"/>
    </row>
    <row r="661" customFormat="false" ht="15.75" hidden="false" customHeight="false" outlineLevel="0" collapsed="false">
      <c r="A661" s="2"/>
      <c r="K661" s="2"/>
      <c r="L661" s="2"/>
      <c r="M661" s="2"/>
      <c r="N661" s="2"/>
      <c r="O661" s="12"/>
      <c r="P661" s="2"/>
      <c r="Q661" s="2"/>
      <c r="R661" s="2"/>
      <c r="T661" s="14"/>
      <c r="V661" s="15"/>
      <c r="W661" s="16"/>
      <c r="X661" s="14"/>
      <c r="AB661" s="4"/>
    </row>
    <row r="662" customFormat="false" ht="15.75" hidden="false" customHeight="false" outlineLevel="0" collapsed="false">
      <c r="A662" s="2"/>
      <c r="K662" s="2"/>
      <c r="L662" s="2"/>
      <c r="M662" s="2"/>
      <c r="N662" s="2"/>
      <c r="O662" s="12"/>
      <c r="P662" s="2"/>
      <c r="Q662" s="2"/>
      <c r="R662" s="2"/>
      <c r="T662" s="14"/>
      <c r="V662" s="15"/>
      <c r="W662" s="16"/>
      <c r="X662" s="14"/>
      <c r="AB662" s="4"/>
    </row>
    <row r="663" customFormat="false" ht="15.75" hidden="false" customHeight="false" outlineLevel="0" collapsed="false">
      <c r="A663" s="2"/>
      <c r="K663" s="2"/>
      <c r="L663" s="2"/>
      <c r="M663" s="2"/>
      <c r="N663" s="2"/>
      <c r="O663" s="12"/>
      <c r="P663" s="2"/>
      <c r="Q663" s="2"/>
      <c r="R663" s="2"/>
      <c r="T663" s="14"/>
      <c r="V663" s="15"/>
      <c r="W663" s="16"/>
      <c r="X663" s="14"/>
      <c r="AB663" s="4"/>
    </row>
    <row r="664" customFormat="false" ht="15.75" hidden="false" customHeight="false" outlineLevel="0" collapsed="false">
      <c r="A664" s="2"/>
      <c r="K664" s="2"/>
      <c r="L664" s="2"/>
      <c r="M664" s="2"/>
      <c r="N664" s="2"/>
      <c r="O664" s="12"/>
      <c r="P664" s="2"/>
      <c r="Q664" s="2"/>
      <c r="R664" s="2"/>
      <c r="T664" s="14"/>
      <c r="V664" s="15"/>
      <c r="W664" s="16"/>
      <c r="X664" s="14"/>
      <c r="AB664" s="4"/>
    </row>
    <row r="665" customFormat="false" ht="15.75" hidden="false" customHeight="false" outlineLevel="0" collapsed="false">
      <c r="A665" s="2"/>
      <c r="K665" s="2"/>
      <c r="L665" s="2"/>
      <c r="M665" s="2"/>
      <c r="N665" s="2"/>
      <c r="O665" s="12"/>
      <c r="P665" s="2"/>
      <c r="Q665" s="2"/>
      <c r="R665" s="2"/>
      <c r="T665" s="14"/>
      <c r="V665" s="15"/>
      <c r="W665" s="16"/>
      <c r="X665" s="14"/>
      <c r="AB665" s="4"/>
    </row>
    <row r="666" customFormat="false" ht="15.75" hidden="false" customHeight="false" outlineLevel="0" collapsed="false">
      <c r="A666" s="2"/>
      <c r="K666" s="2"/>
      <c r="L666" s="2"/>
      <c r="M666" s="2"/>
      <c r="N666" s="2"/>
      <c r="O666" s="12"/>
      <c r="P666" s="2"/>
      <c r="Q666" s="2"/>
      <c r="R666" s="2"/>
      <c r="T666" s="14"/>
      <c r="V666" s="15"/>
      <c r="W666" s="16"/>
      <c r="X666" s="14"/>
      <c r="AB666" s="4"/>
    </row>
    <row r="667" customFormat="false" ht="15.75" hidden="false" customHeight="false" outlineLevel="0" collapsed="false">
      <c r="A667" s="2"/>
      <c r="K667" s="2"/>
      <c r="L667" s="2"/>
      <c r="M667" s="2"/>
      <c r="N667" s="2"/>
      <c r="O667" s="12"/>
      <c r="P667" s="2"/>
      <c r="Q667" s="2"/>
      <c r="R667" s="2"/>
      <c r="T667" s="14"/>
      <c r="V667" s="15"/>
      <c r="W667" s="16"/>
      <c r="X667" s="14"/>
      <c r="AB667" s="4"/>
    </row>
    <row r="668" customFormat="false" ht="15.75" hidden="false" customHeight="false" outlineLevel="0" collapsed="false">
      <c r="A668" s="2"/>
      <c r="K668" s="2"/>
      <c r="L668" s="2"/>
      <c r="M668" s="2"/>
      <c r="N668" s="2"/>
      <c r="O668" s="12"/>
      <c r="P668" s="2"/>
      <c r="Q668" s="2"/>
      <c r="R668" s="2"/>
      <c r="T668" s="14"/>
      <c r="V668" s="15"/>
      <c r="W668" s="16"/>
      <c r="X668" s="14"/>
      <c r="AB668" s="4"/>
    </row>
    <row r="669" customFormat="false" ht="15.75" hidden="false" customHeight="false" outlineLevel="0" collapsed="false">
      <c r="A669" s="2"/>
      <c r="K669" s="2"/>
      <c r="L669" s="2"/>
      <c r="M669" s="2"/>
      <c r="N669" s="2"/>
      <c r="O669" s="12"/>
      <c r="P669" s="2"/>
      <c r="Q669" s="2"/>
      <c r="R669" s="2"/>
      <c r="T669" s="14"/>
      <c r="V669" s="15"/>
      <c r="W669" s="16"/>
      <c r="X669" s="14"/>
      <c r="AB669" s="4"/>
    </row>
    <row r="670" customFormat="false" ht="15.75" hidden="false" customHeight="false" outlineLevel="0" collapsed="false">
      <c r="A670" s="2"/>
      <c r="K670" s="2"/>
      <c r="L670" s="2"/>
      <c r="M670" s="2"/>
      <c r="N670" s="2"/>
      <c r="O670" s="12"/>
      <c r="P670" s="2"/>
      <c r="Q670" s="2"/>
      <c r="R670" s="2"/>
      <c r="T670" s="14"/>
      <c r="V670" s="15"/>
      <c r="W670" s="16"/>
      <c r="X670" s="14"/>
      <c r="AB670" s="4"/>
    </row>
    <row r="671" customFormat="false" ht="15.75" hidden="false" customHeight="false" outlineLevel="0" collapsed="false">
      <c r="A671" s="2"/>
      <c r="K671" s="2"/>
      <c r="L671" s="2"/>
      <c r="M671" s="2"/>
      <c r="N671" s="2"/>
      <c r="O671" s="12"/>
      <c r="P671" s="2"/>
      <c r="Q671" s="2"/>
      <c r="R671" s="2"/>
      <c r="T671" s="14"/>
      <c r="V671" s="15"/>
      <c r="W671" s="16"/>
      <c r="X671" s="14"/>
      <c r="AB671" s="4"/>
    </row>
    <row r="672" customFormat="false" ht="15.75" hidden="false" customHeight="false" outlineLevel="0" collapsed="false">
      <c r="A672" s="2"/>
      <c r="K672" s="2"/>
      <c r="L672" s="2"/>
      <c r="M672" s="2"/>
      <c r="N672" s="2"/>
      <c r="O672" s="12"/>
      <c r="P672" s="2"/>
      <c r="Q672" s="2"/>
      <c r="R672" s="2"/>
      <c r="T672" s="14"/>
      <c r="V672" s="15"/>
      <c r="W672" s="16"/>
      <c r="X672" s="14"/>
      <c r="AB672" s="4"/>
    </row>
    <row r="673" customFormat="false" ht="15.75" hidden="false" customHeight="false" outlineLevel="0" collapsed="false">
      <c r="A673" s="2"/>
      <c r="K673" s="2"/>
      <c r="L673" s="2"/>
      <c r="M673" s="2"/>
      <c r="N673" s="2"/>
      <c r="O673" s="12"/>
      <c r="P673" s="2"/>
      <c r="Q673" s="2"/>
      <c r="R673" s="2"/>
      <c r="T673" s="14"/>
      <c r="V673" s="15"/>
      <c r="W673" s="16"/>
      <c r="X673" s="14"/>
      <c r="AB673" s="4"/>
    </row>
    <row r="674" customFormat="false" ht="15.75" hidden="false" customHeight="false" outlineLevel="0" collapsed="false">
      <c r="A674" s="2"/>
      <c r="K674" s="2"/>
      <c r="L674" s="2"/>
      <c r="M674" s="2"/>
      <c r="N674" s="2"/>
      <c r="O674" s="12"/>
      <c r="P674" s="2"/>
      <c r="Q674" s="2"/>
      <c r="R674" s="2"/>
      <c r="T674" s="14"/>
      <c r="V674" s="15"/>
      <c r="W674" s="16"/>
      <c r="X674" s="14"/>
      <c r="AB674" s="4"/>
    </row>
    <row r="675" customFormat="false" ht="15.75" hidden="false" customHeight="false" outlineLevel="0" collapsed="false">
      <c r="A675" s="2"/>
      <c r="K675" s="2"/>
      <c r="L675" s="2"/>
      <c r="M675" s="2"/>
      <c r="N675" s="2"/>
      <c r="O675" s="12"/>
      <c r="P675" s="2"/>
      <c r="Q675" s="2"/>
      <c r="R675" s="2"/>
      <c r="T675" s="14"/>
      <c r="V675" s="15"/>
      <c r="W675" s="16"/>
      <c r="X675" s="14"/>
      <c r="AB675" s="4"/>
    </row>
    <row r="676" customFormat="false" ht="15.75" hidden="false" customHeight="false" outlineLevel="0" collapsed="false">
      <c r="A676" s="2"/>
      <c r="K676" s="2"/>
      <c r="L676" s="2"/>
      <c r="M676" s="2"/>
      <c r="N676" s="2"/>
      <c r="O676" s="12"/>
      <c r="P676" s="2"/>
      <c r="Q676" s="2"/>
      <c r="R676" s="2"/>
      <c r="T676" s="14"/>
      <c r="V676" s="15"/>
      <c r="W676" s="16"/>
      <c r="X676" s="14"/>
      <c r="AB676" s="4"/>
    </row>
    <row r="677" customFormat="false" ht="15.75" hidden="false" customHeight="false" outlineLevel="0" collapsed="false">
      <c r="A677" s="2"/>
      <c r="K677" s="2"/>
      <c r="L677" s="2"/>
      <c r="M677" s="2"/>
      <c r="N677" s="2"/>
      <c r="O677" s="12"/>
      <c r="P677" s="2"/>
      <c r="Q677" s="2"/>
      <c r="R677" s="2"/>
      <c r="T677" s="14"/>
      <c r="V677" s="15"/>
      <c r="W677" s="16"/>
      <c r="X677" s="14"/>
      <c r="AB677" s="4"/>
    </row>
    <row r="678" customFormat="false" ht="15.75" hidden="false" customHeight="false" outlineLevel="0" collapsed="false">
      <c r="A678" s="2"/>
      <c r="K678" s="2"/>
      <c r="L678" s="2"/>
      <c r="M678" s="2"/>
      <c r="N678" s="2"/>
      <c r="O678" s="12"/>
      <c r="P678" s="2"/>
      <c r="Q678" s="2"/>
      <c r="R678" s="2"/>
      <c r="T678" s="14"/>
      <c r="V678" s="15"/>
      <c r="W678" s="16"/>
      <c r="X678" s="14"/>
      <c r="AB678" s="4"/>
    </row>
    <row r="679" customFormat="false" ht="15.75" hidden="false" customHeight="false" outlineLevel="0" collapsed="false">
      <c r="A679" s="2"/>
      <c r="K679" s="2"/>
      <c r="L679" s="2"/>
      <c r="M679" s="2"/>
      <c r="N679" s="2"/>
      <c r="O679" s="12"/>
      <c r="P679" s="2"/>
      <c r="Q679" s="2"/>
      <c r="R679" s="2"/>
      <c r="T679" s="14"/>
      <c r="V679" s="15"/>
      <c r="W679" s="16"/>
      <c r="X679" s="14"/>
      <c r="AB679" s="4"/>
    </row>
    <row r="680" customFormat="false" ht="15.75" hidden="false" customHeight="false" outlineLevel="0" collapsed="false">
      <c r="A680" s="2"/>
      <c r="K680" s="2"/>
      <c r="L680" s="2"/>
      <c r="M680" s="2"/>
      <c r="N680" s="2"/>
      <c r="O680" s="12"/>
      <c r="P680" s="2"/>
      <c r="Q680" s="2"/>
      <c r="R680" s="2"/>
      <c r="T680" s="14"/>
      <c r="V680" s="15"/>
      <c r="W680" s="16"/>
      <c r="X680" s="14"/>
      <c r="AB680" s="4"/>
    </row>
    <row r="681" customFormat="false" ht="15.75" hidden="false" customHeight="false" outlineLevel="0" collapsed="false">
      <c r="A681" s="2"/>
      <c r="K681" s="2"/>
      <c r="L681" s="2"/>
      <c r="M681" s="2"/>
      <c r="N681" s="2"/>
      <c r="O681" s="12"/>
      <c r="P681" s="2"/>
      <c r="Q681" s="2"/>
      <c r="R681" s="2"/>
      <c r="T681" s="14"/>
      <c r="V681" s="15"/>
      <c r="W681" s="16"/>
      <c r="X681" s="14"/>
      <c r="AB681" s="4"/>
    </row>
    <row r="682" customFormat="false" ht="15.75" hidden="false" customHeight="false" outlineLevel="0" collapsed="false">
      <c r="A682" s="2"/>
      <c r="K682" s="2"/>
      <c r="L682" s="2"/>
      <c r="M682" s="2"/>
      <c r="N682" s="2"/>
      <c r="O682" s="12"/>
      <c r="P682" s="2"/>
      <c r="Q682" s="2"/>
      <c r="R682" s="2"/>
      <c r="T682" s="14"/>
      <c r="V682" s="15"/>
      <c r="W682" s="16"/>
      <c r="X682" s="14"/>
      <c r="AB682" s="4"/>
    </row>
    <row r="683" customFormat="false" ht="15.75" hidden="false" customHeight="false" outlineLevel="0" collapsed="false">
      <c r="A683" s="2"/>
      <c r="K683" s="2"/>
      <c r="L683" s="2"/>
      <c r="M683" s="2"/>
      <c r="N683" s="2"/>
      <c r="O683" s="12"/>
      <c r="P683" s="2"/>
      <c r="Q683" s="2"/>
      <c r="R683" s="2"/>
      <c r="T683" s="14"/>
      <c r="V683" s="15"/>
      <c r="W683" s="16"/>
      <c r="X683" s="14"/>
      <c r="AB683" s="4"/>
    </row>
    <row r="684" customFormat="false" ht="15.75" hidden="false" customHeight="false" outlineLevel="0" collapsed="false">
      <c r="A684" s="2"/>
      <c r="K684" s="2"/>
      <c r="L684" s="2"/>
      <c r="M684" s="2"/>
      <c r="N684" s="2"/>
      <c r="O684" s="12"/>
      <c r="P684" s="2"/>
      <c r="Q684" s="2"/>
      <c r="R684" s="2"/>
      <c r="T684" s="14"/>
      <c r="V684" s="15"/>
      <c r="W684" s="16"/>
      <c r="X684" s="14"/>
      <c r="AB684" s="4"/>
    </row>
    <row r="685" customFormat="false" ht="15.75" hidden="false" customHeight="false" outlineLevel="0" collapsed="false">
      <c r="A685" s="2"/>
      <c r="K685" s="2"/>
      <c r="L685" s="2"/>
      <c r="M685" s="2"/>
      <c r="N685" s="2"/>
      <c r="O685" s="12"/>
      <c r="P685" s="2"/>
      <c r="Q685" s="2"/>
      <c r="R685" s="2"/>
      <c r="T685" s="14"/>
      <c r="V685" s="15"/>
      <c r="W685" s="16"/>
      <c r="X685" s="14"/>
      <c r="AB685" s="4"/>
    </row>
    <row r="686" customFormat="false" ht="15.75" hidden="false" customHeight="false" outlineLevel="0" collapsed="false">
      <c r="A686" s="2"/>
      <c r="K686" s="2"/>
      <c r="L686" s="2"/>
      <c r="M686" s="2"/>
      <c r="N686" s="2"/>
      <c r="O686" s="12"/>
      <c r="P686" s="2"/>
      <c r="Q686" s="2"/>
      <c r="R686" s="2"/>
      <c r="T686" s="14"/>
      <c r="V686" s="15"/>
      <c r="W686" s="16"/>
      <c r="X686" s="14"/>
      <c r="AB686" s="4"/>
    </row>
    <row r="687" customFormat="false" ht="15.75" hidden="false" customHeight="false" outlineLevel="0" collapsed="false">
      <c r="A687" s="2"/>
      <c r="K687" s="2"/>
      <c r="L687" s="2"/>
      <c r="M687" s="2"/>
      <c r="N687" s="2"/>
      <c r="O687" s="12"/>
      <c r="P687" s="2"/>
      <c r="Q687" s="2"/>
      <c r="R687" s="2"/>
      <c r="T687" s="14"/>
      <c r="V687" s="15"/>
      <c r="W687" s="16"/>
      <c r="X687" s="14"/>
      <c r="AB687" s="4"/>
    </row>
    <row r="688" customFormat="false" ht="15.75" hidden="false" customHeight="false" outlineLevel="0" collapsed="false">
      <c r="A688" s="2"/>
      <c r="K688" s="2"/>
      <c r="L688" s="2"/>
      <c r="M688" s="2"/>
      <c r="N688" s="2"/>
      <c r="O688" s="12"/>
      <c r="P688" s="2"/>
      <c r="Q688" s="2"/>
      <c r="R688" s="2"/>
      <c r="T688" s="14"/>
      <c r="V688" s="15"/>
      <c r="W688" s="16"/>
      <c r="X688" s="14"/>
      <c r="AB688" s="4"/>
    </row>
    <row r="689" customFormat="false" ht="15.75" hidden="false" customHeight="false" outlineLevel="0" collapsed="false">
      <c r="A689" s="2"/>
      <c r="K689" s="2"/>
      <c r="L689" s="2"/>
      <c r="M689" s="2"/>
      <c r="N689" s="2"/>
      <c r="O689" s="12"/>
      <c r="P689" s="2"/>
      <c r="Q689" s="2"/>
      <c r="R689" s="2"/>
      <c r="T689" s="14"/>
      <c r="V689" s="15"/>
      <c r="W689" s="16"/>
      <c r="X689" s="14"/>
      <c r="AB689" s="4"/>
    </row>
    <row r="690" customFormat="false" ht="15.75" hidden="false" customHeight="false" outlineLevel="0" collapsed="false">
      <c r="A690" s="2"/>
      <c r="K690" s="2"/>
      <c r="L690" s="2"/>
      <c r="M690" s="2"/>
      <c r="N690" s="2"/>
      <c r="O690" s="12"/>
      <c r="P690" s="2"/>
      <c r="Q690" s="2"/>
      <c r="R690" s="2"/>
      <c r="T690" s="14"/>
      <c r="V690" s="15"/>
      <c r="W690" s="16"/>
      <c r="X690" s="14"/>
      <c r="AB690" s="4"/>
    </row>
    <row r="691" customFormat="false" ht="15.75" hidden="false" customHeight="false" outlineLevel="0" collapsed="false">
      <c r="A691" s="2"/>
      <c r="K691" s="2"/>
      <c r="L691" s="2"/>
      <c r="M691" s="2"/>
      <c r="N691" s="2"/>
      <c r="O691" s="12"/>
      <c r="P691" s="2"/>
      <c r="Q691" s="2"/>
      <c r="R691" s="2"/>
      <c r="T691" s="14"/>
      <c r="V691" s="15"/>
      <c r="W691" s="16"/>
      <c r="X691" s="14"/>
      <c r="AB691" s="4"/>
    </row>
    <row r="692" customFormat="false" ht="15.75" hidden="false" customHeight="false" outlineLevel="0" collapsed="false">
      <c r="A692" s="2"/>
      <c r="K692" s="2"/>
      <c r="L692" s="2"/>
      <c r="M692" s="2"/>
      <c r="N692" s="2"/>
      <c r="O692" s="12"/>
      <c r="P692" s="2"/>
      <c r="Q692" s="2"/>
      <c r="R692" s="2"/>
      <c r="T692" s="14"/>
      <c r="V692" s="15"/>
      <c r="W692" s="16"/>
      <c r="X692" s="14"/>
      <c r="AB692" s="4"/>
    </row>
    <row r="693" customFormat="false" ht="15.75" hidden="false" customHeight="false" outlineLevel="0" collapsed="false">
      <c r="A693" s="2"/>
      <c r="K693" s="2"/>
      <c r="L693" s="2"/>
      <c r="M693" s="2"/>
      <c r="N693" s="2"/>
      <c r="O693" s="12"/>
      <c r="P693" s="2"/>
      <c r="Q693" s="2"/>
      <c r="R693" s="2"/>
      <c r="T693" s="14"/>
      <c r="V693" s="15"/>
      <c r="W693" s="16"/>
      <c r="X693" s="14"/>
      <c r="AB693" s="4"/>
    </row>
    <row r="694" customFormat="false" ht="15.75" hidden="false" customHeight="false" outlineLevel="0" collapsed="false">
      <c r="A694" s="2"/>
      <c r="K694" s="2"/>
      <c r="L694" s="2"/>
      <c r="M694" s="2"/>
      <c r="N694" s="2"/>
      <c r="O694" s="12"/>
      <c r="P694" s="2"/>
      <c r="Q694" s="2"/>
      <c r="R694" s="2"/>
      <c r="T694" s="14"/>
      <c r="V694" s="15"/>
      <c r="W694" s="16"/>
      <c r="X694" s="14"/>
      <c r="AB694" s="4"/>
    </row>
    <row r="695" customFormat="false" ht="15.75" hidden="false" customHeight="false" outlineLevel="0" collapsed="false">
      <c r="A695" s="2"/>
      <c r="K695" s="2"/>
      <c r="L695" s="2"/>
      <c r="M695" s="2"/>
      <c r="N695" s="2"/>
      <c r="O695" s="12"/>
      <c r="P695" s="2"/>
      <c r="Q695" s="2"/>
      <c r="R695" s="2"/>
      <c r="T695" s="14"/>
      <c r="V695" s="15"/>
      <c r="W695" s="16"/>
      <c r="X695" s="14"/>
      <c r="AB695" s="4"/>
    </row>
    <row r="696" customFormat="false" ht="15.75" hidden="false" customHeight="false" outlineLevel="0" collapsed="false">
      <c r="A696" s="2"/>
      <c r="K696" s="2"/>
      <c r="L696" s="2"/>
      <c r="M696" s="2"/>
      <c r="N696" s="2"/>
      <c r="O696" s="12"/>
      <c r="P696" s="2"/>
      <c r="Q696" s="2"/>
      <c r="R696" s="2"/>
      <c r="T696" s="14"/>
      <c r="V696" s="15"/>
      <c r="W696" s="16"/>
      <c r="X696" s="14"/>
      <c r="AB696" s="4"/>
    </row>
    <row r="697" customFormat="false" ht="15.75" hidden="false" customHeight="false" outlineLevel="0" collapsed="false">
      <c r="A697" s="2"/>
      <c r="K697" s="2"/>
      <c r="L697" s="2"/>
      <c r="M697" s="2"/>
      <c r="N697" s="2"/>
      <c r="O697" s="12"/>
      <c r="P697" s="2"/>
      <c r="Q697" s="2"/>
      <c r="R697" s="2"/>
      <c r="T697" s="14"/>
      <c r="V697" s="15"/>
      <c r="W697" s="16"/>
      <c r="X697" s="14"/>
      <c r="AB697" s="4"/>
    </row>
    <row r="698" customFormat="false" ht="15.75" hidden="false" customHeight="false" outlineLevel="0" collapsed="false">
      <c r="A698" s="2"/>
      <c r="K698" s="2"/>
      <c r="L698" s="2"/>
      <c r="M698" s="2"/>
      <c r="N698" s="2"/>
      <c r="O698" s="12"/>
      <c r="P698" s="2"/>
      <c r="Q698" s="2"/>
      <c r="R698" s="2"/>
      <c r="T698" s="14"/>
      <c r="V698" s="15"/>
      <c r="W698" s="16"/>
      <c r="X698" s="14"/>
      <c r="AB698" s="4"/>
    </row>
    <row r="699" customFormat="false" ht="15.75" hidden="false" customHeight="false" outlineLevel="0" collapsed="false">
      <c r="A699" s="2"/>
      <c r="K699" s="2"/>
      <c r="L699" s="2"/>
      <c r="M699" s="2"/>
      <c r="N699" s="2"/>
      <c r="O699" s="12"/>
      <c r="P699" s="2"/>
      <c r="Q699" s="2"/>
      <c r="R699" s="2"/>
      <c r="T699" s="14"/>
      <c r="V699" s="15"/>
      <c r="W699" s="16"/>
      <c r="X699" s="14"/>
      <c r="AB699" s="4"/>
    </row>
    <row r="700" customFormat="false" ht="15.75" hidden="false" customHeight="false" outlineLevel="0" collapsed="false">
      <c r="A700" s="2"/>
      <c r="K700" s="2"/>
      <c r="L700" s="2"/>
      <c r="M700" s="2"/>
      <c r="N700" s="2"/>
      <c r="O700" s="12"/>
      <c r="P700" s="2"/>
      <c r="Q700" s="2"/>
      <c r="R700" s="2"/>
      <c r="T700" s="14"/>
      <c r="V700" s="15"/>
      <c r="W700" s="16"/>
      <c r="X700" s="14"/>
      <c r="AB700" s="4"/>
    </row>
    <row r="701" customFormat="false" ht="15.75" hidden="false" customHeight="false" outlineLevel="0" collapsed="false">
      <c r="A701" s="2"/>
      <c r="K701" s="2"/>
      <c r="L701" s="2"/>
      <c r="M701" s="2"/>
      <c r="N701" s="2"/>
      <c r="O701" s="12"/>
      <c r="P701" s="2"/>
      <c r="Q701" s="2"/>
      <c r="R701" s="2"/>
      <c r="T701" s="14"/>
      <c r="V701" s="15"/>
      <c r="W701" s="16"/>
      <c r="X701" s="14"/>
      <c r="AB701" s="4"/>
    </row>
    <row r="702" customFormat="false" ht="15.75" hidden="false" customHeight="false" outlineLevel="0" collapsed="false">
      <c r="A702" s="2"/>
      <c r="K702" s="2"/>
      <c r="L702" s="2"/>
      <c r="M702" s="2"/>
      <c r="N702" s="2"/>
      <c r="O702" s="12"/>
      <c r="P702" s="2"/>
      <c r="Q702" s="2"/>
      <c r="R702" s="2"/>
      <c r="T702" s="14"/>
      <c r="V702" s="15"/>
      <c r="W702" s="16"/>
      <c r="X702" s="14"/>
      <c r="AB702" s="4"/>
    </row>
    <row r="703" customFormat="false" ht="15.75" hidden="false" customHeight="false" outlineLevel="0" collapsed="false">
      <c r="A703" s="2"/>
      <c r="K703" s="2"/>
      <c r="L703" s="2"/>
      <c r="M703" s="2"/>
      <c r="N703" s="2"/>
      <c r="O703" s="12"/>
      <c r="P703" s="2"/>
      <c r="Q703" s="2"/>
      <c r="R703" s="2"/>
      <c r="T703" s="14"/>
      <c r="V703" s="15"/>
      <c r="W703" s="16"/>
      <c r="X703" s="14"/>
      <c r="AB703" s="4"/>
    </row>
    <row r="704" customFormat="false" ht="15.75" hidden="false" customHeight="false" outlineLevel="0" collapsed="false">
      <c r="A704" s="2"/>
      <c r="K704" s="2"/>
      <c r="L704" s="2"/>
      <c r="M704" s="2"/>
      <c r="N704" s="2"/>
      <c r="O704" s="12"/>
      <c r="P704" s="2"/>
      <c r="Q704" s="2"/>
      <c r="R704" s="2"/>
      <c r="T704" s="14"/>
      <c r="V704" s="15"/>
      <c r="W704" s="16"/>
      <c r="X704" s="14"/>
      <c r="AB704" s="4"/>
    </row>
    <row r="705" customFormat="false" ht="15.75" hidden="false" customHeight="false" outlineLevel="0" collapsed="false">
      <c r="A705" s="2"/>
      <c r="K705" s="2"/>
      <c r="L705" s="2"/>
      <c r="M705" s="2"/>
      <c r="N705" s="2"/>
      <c r="O705" s="12"/>
      <c r="P705" s="2"/>
      <c r="Q705" s="2"/>
      <c r="R705" s="2"/>
      <c r="T705" s="14"/>
      <c r="V705" s="15"/>
      <c r="W705" s="16"/>
      <c r="X705" s="14"/>
      <c r="AB705" s="4"/>
    </row>
    <row r="706" customFormat="false" ht="15.75" hidden="false" customHeight="false" outlineLevel="0" collapsed="false">
      <c r="A706" s="2"/>
      <c r="K706" s="2"/>
      <c r="L706" s="2"/>
      <c r="M706" s="2"/>
      <c r="N706" s="2"/>
      <c r="O706" s="12"/>
      <c r="P706" s="2"/>
      <c r="Q706" s="2"/>
      <c r="R706" s="2"/>
      <c r="T706" s="14"/>
      <c r="V706" s="15"/>
      <c r="W706" s="16"/>
      <c r="X706" s="14"/>
      <c r="AB706" s="4"/>
    </row>
    <row r="707" customFormat="false" ht="15.75" hidden="false" customHeight="false" outlineLevel="0" collapsed="false">
      <c r="A707" s="2"/>
      <c r="K707" s="2"/>
      <c r="L707" s="2"/>
      <c r="M707" s="2"/>
      <c r="N707" s="2"/>
      <c r="O707" s="12"/>
      <c r="P707" s="2"/>
      <c r="Q707" s="2"/>
      <c r="R707" s="2"/>
      <c r="T707" s="14"/>
      <c r="V707" s="15"/>
      <c r="W707" s="16"/>
      <c r="X707" s="14"/>
      <c r="AB707" s="4"/>
    </row>
    <row r="708" customFormat="false" ht="15.75" hidden="false" customHeight="false" outlineLevel="0" collapsed="false">
      <c r="A708" s="2"/>
      <c r="K708" s="2"/>
      <c r="L708" s="2"/>
      <c r="M708" s="2"/>
      <c r="N708" s="2"/>
      <c r="O708" s="12"/>
      <c r="P708" s="2"/>
      <c r="Q708" s="2"/>
      <c r="R708" s="2"/>
      <c r="T708" s="14"/>
      <c r="V708" s="15"/>
      <c r="W708" s="16"/>
      <c r="X708" s="14"/>
      <c r="AB708" s="4"/>
    </row>
    <row r="709" customFormat="false" ht="15.75" hidden="false" customHeight="false" outlineLevel="0" collapsed="false">
      <c r="A709" s="2"/>
      <c r="K709" s="2"/>
      <c r="L709" s="2"/>
      <c r="M709" s="2"/>
      <c r="N709" s="2"/>
      <c r="O709" s="12"/>
      <c r="P709" s="2"/>
      <c r="Q709" s="2"/>
      <c r="R709" s="2"/>
      <c r="T709" s="14"/>
      <c r="V709" s="15"/>
      <c r="W709" s="16"/>
      <c r="X709" s="14"/>
      <c r="AB709" s="4"/>
    </row>
    <row r="710" customFormat="false" ht="15.75" hidden="false" customHeight="false" outlineLevel="0" collapsed="false">
      <c r="A710" s="2"/>
      <c r="K710" s="2"/>
      <c r="L710" s="2"/>
      <c r="M710" s="2"/>
      <c r="N710" s="2"/>
      <c r="O710" s="12"/>
      <c r="P710" s="2"/>
      <c r="Q710" s="2"/>
      <c r="R710" s="2"/>
      <c r="T710" s="14"/>
      <c r="V710" s="15"/>
      <c r="W710" s="16"/>
      <c r="X710" s="14"/>
      <c r="AB710" s="4"/>
    </row>
    <row r="711" customFormat="false" ht="15.75" hidden="false" customHeight="false" outlineLevel="0" collapsed="false">
      <c r="A711" s="2"/>
      <c r="K711" s="2"/>
      <c r="L711" s="2"/>
      <c r="M711" s="2"/>
      <c r="N711" s="2"/>
      <c r="O711" s="12"/>
      <c r="P711" s="2"/>
      <c r="Q711" s="2"/>
      <c r="R711" s="2"/>
      <c r="T711" s="14"/>
      <c r="V711" s="15"/>
      <c r="W711" s="16"/>
      <c r="X711" s="14"/>
      <c r="AB711" s="4"/>
    </row>
    <row r="712" customFormat="false" ht="15.75" hidden="false" customHeight="false" outlineLevel="0" collapsed="false">
      <c r="A712" s="2"/>
      <c r="K712" s="2"/>
      <c r="L712" s="2"/>
      <c r="M712" s="2"/>
      <c r="N712" s="2"/>
      <c r="O712" s="12"/>
      <c r="P712" s="2"/>
      <c r="Q712" s="2"/>
      <c r="R712" s="2"/>
      <c r="T712" s="14"/>
      <c r="V712" s="15"/>
      <c r="W712" s="16"/>
      <c r="X712" s="14"/>
      <c r="AB712" s="4"/>
    </row>
    <row r="713" customFormat="false" ht="15.75" hidden="false" customHeight="false" outlineLevel="0" collapsed="false">
      <c r="A713" s="2"/>
      <c r="K713" s="2"/>
      <c r="L713" s="2"/>
      <c r="M713" s="2"/>
      <c r="N713" s="2"/>
      <c r="O713" s="12"/>
      <c r="P713" s="2"/>
      <c r="Q713" s="2"/>
      <c r="R713" s="2"/>
      <c r="T713" s="14"/>
      <c r="V713" s="15"/>
      <c r="W713" s="16"/>
      <c r="X713" s="14"/>
      <c r="AB713" s="4"/>
    </row>
    <row r="714" customFormat="false" ht="15.75" hidden="false" customHeight="false" outlineLevel="0" collapsed="false">
      <c r="A714" s="2"/>
      <c r="K714" s="2"/>
      <c r="L714" s="2"/>
      <c r="M714" s="2"/>
      <c r="N714" s="2"/>
      <c r="O714" s="12"/>
      <c r="P714" s="2"/>
      <c r="Q714" s="2"/>
      <c r="R714" s="2"/>
      <c r="T714" s="14"/>
      <c r="V714" s="15"/>
      <c r="W714" s="16"/>
      <c r="X714" s="14"/>
      <c r="AB714" s="4"/>
    </row>
    <row r="715" customFormat="false" ht="15.75" hidden="false" customHeight="false" outlineLevel="0" collapsed="false">
      <c r="A715" s="2"/>
      <c r="K715" s="2"/>
      <c r="L715" s="2"/>
      <c r="M715" s="2"/>
      <c r="N715" s="2"/>
      <c r="O715" s="12"/>
      <c r="P715" s="2"/>
      <c r="Q715" s="2"/>
      <c r="R715" s="2"/>
      <c r="T715" s="14"/>
      <c r="V715" s="15"/>
      <c r="W715" s="16"/>
      <c r="X715" s="14"/>
      <c r="AB715" s="4"/>
    </row>
    <row r="716" customFormat="false" ht="15.75" hidden="false" customHeight="false" outlineLevel="0" collapsed="false">
      <c r="A716" s="2"/>
      <c r="K716" s="2"/>
      <c r="L716" s="2"/>
      <c r="M716" s="2"/>
      <c r="N716" s="2"/>
      <c r="O716" s="12"/>
      <c r="P716" s="2"/>
      <c r="Q716" s="2"/>
      <c r="R716" s="2"/>
      <c r="T716" s="14"/>
      <c r="V716" s="15"/>
      <c r="W716" s="16"/>
      <c r="X716" s="14"/>
      <c r="AB716" s="4"/>
    </row>
    <row r="717" customFormat="false" ht="15.75" hidden="false" customHeight="false" outlineLevel="0" collapsed="false">
      <c r="A717" s="2"/>
      <c r="K717" s="2"/>
      <c r="L717" s="2"/>
      <c r="M717" s="2"/>
      <c r="N717" s="2"/>
      <c r="O717" s="12"/>
      <c r="P717" s="2"/>
      <c r="Q717" s="2"/>
      <c r="R717" s="2"/>
      <c r="T717" s="14"/>
      <c r="V717" s="15"/>
      <c r="W717" s="16"/>
      <c r="X717" s="14"/>
      <c r="AB717" s="4"/>
    </row>
    <row r="718" customFormat="false" ht="15.75" hidden="false" customHeight="false" outlineLevel="0" collapsed="false">
      <c r="A718" s="2"/>
      <c r="K718" s="2"/>
      <c r="L718" s="2"/>
      <c r="M718" s="2"/>
      <c r="N718" s="2"/>
      <c r="O718" s="12"/>
      <c r="P718" s="2"/>
      <c r="Q718" s="2"/>
      <c r="R718" s="2"/>
      <c r="T718" s="14"/>
      <c r="V718" s="15"/>
      <c r="W718" s="16"/>
      <c r="X718" s="14"/>
      <c r="AB718" s="4"/>
    </row>
    <row r="719" customFormat="false" ht="15.75" hidden="false" customHeight="false" outlineLevel="0" collapsed="false">
      <c r="A719" s="2"/>
      <c r="K719" s="2"/>
      <c r="L719" s="2"/>
      <c r="M719" s="2"/>
      <c r="N719" s="2"/>
      <c r="O719" s="12"/>
      <c r="P719" s="2"/>
      <c r="Q719" s="2"/>
      <c r="R719" s="2"/>
      <c r="T719" s="14"/>
      <c r="V719" s="15"/>
      <c r="W719" s="16"/>
      <c r="X719" s="14"/>
      <c r="AB719" s="4"/>
    </row>
    <row r="720" customFormat="false" ht="15.75" hidden="false" customHeight="false" outlineLevel="0" collapsed="false">
      <c r="A720" s="2"/>
      <c r="K720" s="2"/>
      <c r="L720" s="2"/>
      <c r="M720" s="2"/>
      <c r="N720" s="2"/>
      <c r="O720" s="12"/>
      <c r="P720" s="2"/>
      <c r="Q720" s="2"/>
      <c r="R720" s="2"/>
      <c r="T720" s="14"/>
      <c r="V720" s="15"/>
      <c r="W720" s="16"/>
      <c r="X720" s="14"/>
      <c r="AB720" s="4"/>
    </row>
    <row r="721" customFormat="false" ht="15.75" hidden="false" customHeight="false" outlineLevel="0" collapsed="false">
      <c r="A721" s="2"/>
      <c r="K721" s="2"/>
      <c r="L721" s="2"/>
      <c r="M721" s="2"/>
      <c r="N721" s="2"/>
      <c r="O721" s="12"/>
      <c r="P721" s="2"/>
      <c r="Q721" s="2"/>
      <c r="R721" s="2"/>
      <c r="T721" s="14"/>
      <c r="V721" s="15"/>
      <c r="W721" s="16"/>
      <c r="X721" s="14"/>
      <c r="AB721" s="4"/>
    </row>
    <row r="722" customFormat="false" ht="15.75" hidden="false" customHeight="false" outlineLevel="0" collapsed="false">
      <c r="A722" s="2"/>
      <c r="K722" s="2"/>
      <c r="L722" s="2"/>
      <c r="M722" s="2"/>
      <c r="N722" s="2"/>
      <c r="O722" s="12"/>
      <c r="P722" s="2"/>
      <c r="Q722" s="2"/>
      <c r="R722" s="2"/>
      <c r="T722" s="14"/>
      <c r="V722" s="15"/>
      <c r="W722" s="16"/>
      <c r="X722" s="14"/>
      <c r="AB722" s="4"/>
    </row>
    <row r="723" customFormat="false" ht="15.75" hidden="false" customHeight="false" outlineLevel="0" collapsed="false">
      <c r="A723" s="2"/>
      <c r="K723" s="2"/>
      <c r="L723" s="2"/>
      <c r="M723" s="2"/>
      <c r="N723" s="2"/>
      <c r="O723" s="12"/>
      <c r="P723" s="2"/>
      <c r="Q723" s="2"/>
      <c r="R723" s="2"/>
      <c r="T723" s="14"/>
      <c r="V723" s="15"/>
      <c r="W723" s="16"/>
      <c r="X723" s="14"/>
      <c r="AB723" s="4"/>
    </row>
    <row r="724" customFormat="false" ht="15.75" hidden="false" customHeight="false" outlineLevel="0" collapsed="false">
      <c r="A724" s="2"/>
      <c r="K724" s="2"/>
      <c r="L724" s="2"/>
      <c r="M724" s="2"/>
      <c r="N724" s="2"/>
      <c r="O724" s="12"/>
      <c r="P724" s="2"/>
      <c r="Q724" s="2"/>
      <c r="R724" s="2"/>
      <c r="T724" s="14"/>
      <c r="V724" s="15"/>
      <c r="W724" s="16"/>
      <c r="X724" s="14"/>
      <c r="AB724" s="4"/>
    </row>
    <row r="725" customFormat="false" ht="15.75" hidden="false" customHeight="false" outlineLevel="0" collapsed="false">
      <c r="A725" s="2"/>
      <c r="K725" s="2"/>
      <c r="L725" s="2"/>
      <c r="M725" s="2"/>
      <c r="N725" s="2"/>
      <c r="O725" s="12"/>
      <c r="P725" s="2"/>
      <c r="Q725" s="2"/>
      <c r="R725" s="2"/>
      <c r="T725" s="14"/>
      <c r="V725" s="15"/>
      <c r="W725" s="16"/>
      <c r="X725" s="14"/>
      <c r="AB725" s="4"/>
    </row>
    <row r="726" customFormat="false" ht="15.75" hidden="false" customHeight="false" outlineLevel="0" collapsed="false">
      <c r="A726" s="2"/>
      <c r="K726" s="2"/>
      <c r="L726" s="2"/>
      <c r="M726" s="2"/>
      <c r="N726" s="2"/>
      <c r="O726" s="12"/>
      <c r="P726" s="2"/>
      <c r="Q726" s="2"/>
      <c r="R726" s="2"/>
      <c r="T726" s="14"/>
      <c r="V726" s="15"/>
      <c r="W726" s="16"/>
      <c r="X726" s="14"/>
      <c r="AB726" s="4"/>
    </row>
    <row r="727" customFormat="false" ht="15.75" hidden="false" customHeight="false" outlineLevel="0" collapsed="false">
      <c r="A727" s="2"/>
      <c r="K727" s="2"/>
      <c r="L727" s="2"/>
      <c r="M727" s="2"/>
      <c r="N727" s="2"/>
      <c r="O727" s="12"/>
      <c r="P727" s="2"/>
      <c r="Q727" s="2"/>
      <c r="R727" s="2"/>
      <c r="T727" s="14"/>
      <c r="V727" s="15"/>
      <c r="W727" s="16"/>
      <c r="X727" s="14"/>
      <c r="AB727" s="4"/>
    </row>
    <row r="728" customFormat="false" ht="15.75" hidden="false" customHeight="false" outlineLevel="0" collapsed="false">
      <c r="A728" s="2"/>
      <c r="K728" s="2"/>
      <c r="L728" s="2"/>
      <c r="M728" s="2"/>
      <c r="N728" s="2"/>
      <c r="O728" s="12"/>
      <c r="P728" s="2"/>
      <c r="Q728" s="2"/>
      <c r="R728" s="2"/>
      <c r="T728" s="14"/>
      <c r="V728" s="15"/>
      <c r="W728" s="16"/>
      <c r="X728" s="14"/>
      <c r="AB728" s="4"/>
    </row>
    <row r="729" customFormat="false" ht="15.75" hidden="false" customHeight="false" outlineLevel="0" collapsed="false">
      <c r="A729" s="2"/>
      <c r="K729" s="2"/>
      <c r="L729" s="2"/>
      <c r="M729" s="2"/>
      <c r="N729" s="2"/>
      <c r="O729" s="12"/>
      <c r="P729" s="2"/>
      <c r="Q729" s="2"/>
      <c r="R729" s="2"/>
      <c r="T729" s="14"/>
      <c r="V729" s="15"/>
      <c r="W729" s="16"/>
      <c r="X729" s="14"/>
      <c r="AB729" s="4"/>
    </row>
    <row r="730" customFormat="false" ht="15.75" hidden="false" customHeight="false" outlineLevel="0" collapsed="false">
      <c r="A730" s="2"/>
      <c r="K730" s="2"/>
      <c r="L730" s="2"/>
      <c r="M730" s="2"/>
      <c r="N730" s="2"/>
      <c r="O730" s="12"/>
      <c r="P730" s="2"/>
      <c r="Q730" s="2"/>
      <c r="R730" s="2"/>
      <c r="T730" s="14"/>
      <c r="V730" s="15"/>
      <c r="W730" s="16"/>
      <c r="X730" s="14"/>
      <c r="AB730" s="4"/>
    </row>
    <row r="731" customFormat="false" ht="15.75" hidden="false" customHeight="false" outlineLevel="0" collapsed="false">
      <c r="A731" s="2"/>
      <c r="K731" s="2"/>
      <c r="L731" s="2"/>
      <c r="M731" s="2"/>
      <c r="N731" s="2"/>
      <c r="O731" s="12"/>
      <c r="P731" s="2"/>
      <c r="Q731" s="2"/>
      <c r="R731" s="2"/>
      <c r="T731" s="14"/>
      <c r="V731" s="15"/>
      <c r="W731" s="16"/>
      <c r="X731" s="14"/>
      <c r="AB731" s="4"/>
    </row>
    <row r="732" customFormat="false" ht="15.75" hidden="false" customHeight="false" outlineLevel="0" collapsed="false">
      <c r="A732" s="2"/>
      <c r="K732" s="2"/>
      <c r="L732" s="2"/>
      <c r="M732" s="2"/>
      <c r="N732" s="2"/>
      <c r="O732" s="12"/>
      <c r="P732" s="2"/>
      <c r="Q732" s="2"/>
      <c r="R732" s="2"/>
      <c r="T732" s="14"/>
      <c r="V732" s="15"/>
      <c r="W732" s="16"/>
      <c r="X732" s="14"/>
      <c r="AB732" s="4"/>
    </row>
    <row r="733" customFormat="false" ht="15.75" hidden="false" customHeight="false" outlineLevel="0" collapsed="false">
      <c r="A733" s="2"/>
      <c r="K733" s="2"/>
      <c r="L733" s="2"/>
      <c r="M733" s="2"/>
      <c r="N733" s="2"/>
      <c r="O733" s="12"/>
      <c r="P733" s="2"/>
      <c r="Q733" s="2"/>
      <c r="R733" s="2"/>
      <c r="T733" s="14"/>
      <c r="V733" s="15"/>
      <c r="W733" s="16"/>
      <c r="X733" s="14"/>
      <c r="AB733" s="4"/>
    </row>
    <row r="734" customFormat="false" ht="15.75" hidden="false" customHeight="false" outlineLevel="0" collapsed="false">
      <c r="A734" s="2"/>
      <c r="K734" s="2"/>
      <c r="L734" s="2"/>
      <c r="M734" s="2"/>
      <c r="N734" s="2"/>
      <c r="O734" s="12"/>
      <c r="P734" s="2"/>
      <c r="Q734" s="2"/>
      <c r="R734" s="2"/>
      <c r="T734" s="14"/>
      <c r="V734" s="15"/>
      <c r="W734" s="16"/>
      <c r="X734" s="14"/>
      <c r="AB734" s="4"/>
    </row>
    <row r="735" customFormat="false" ht="15.75" hidden="false" customHeight="false" outlineLevel="0" collapsed="false">
      <c r="A735" s="2"/>
      <c r="K735" s="2"/>
      <c r="L735" s="2"/>
      <c r="M735" s="2"/>
      <c r="N735" s="2"/>
      <c r="O735" s="12"/>
      <c r="P735" s="2"/>
      <c r="Q735" s="2"/>
      <c r="R735" s="2"/>
      <c r="T735" s="14"/>
      <c r="V735" s="15"/>
      <c r="W735" s="16"/>
      <c r="X735" s="14"/>
      <c r="AB735" s="4"/>
    </row>
    <row r="736" customFormat="false" ht="15.75" hidden="false" customHeight="false" outlineLevel="0" collapsed="false">
      <c r="A736" s="2"/>
      <c r="K736" s="2"/>
      <c r="L736" s="2"/>
      <c r="M736" s="2"/>
      <c r="N736" s="2"/>
      <c r="O736" s="12"/>
      <c r="P736" s="2"/>
      <c r="Q736" s="2"/>
      <c r="R736" s="2"/>
      <c r="T736" s="14"/>
      <c r="V736" s="15"/>
      <c r="W736" s="16"/>
      <c r="X736" s="14"/>
      <c r="AB736" s="4"/>
    </row>
    <row r="737" customFormat="false" ht="15.75" hidden="false" customHeight="false" outlineLevel="0" collapsed="false">
      <c r="A737" s="2"/>
      <c r="K737" s="2"/>
      <c r="L737" s="2"/>
      <c r="M737" s="2"/>
      <c r="N737" s="2"/>
      <c r="O737" s="12"/>
      <c r="P737" s="2"/>
      <c r="Q737" s="2"/>
      <c r="R737" s="2"/>
      <c r="T737" s="14"/>
      <c r="V737" s="15"/>
      <c r="W737" s="16"/>
      <c r="X737" s="14"/>
      <c r="AB737" s="4"/>
    </row>
    <row r="738" customFormat="false" ht="15.75" hidden="false" customHeight="false" outlineLevel="0" collapsed="false">
      <c r="A738" s="2"/>
      <c r="K738" s="2"/>
      <c r="L738" s="2"/>
      <c r="M738" s="2"/>
      <c r="N738" s="2"/>
      <c r="O738" s="12"/>
      <c r="P738" s="2"/>
      <c r="Q738" s="2"/>
      <c r="R738" s="2"/>
      <c r="T738" s="14"/>
      <c r="V738" s="15"/>
      <c r="W738" s="16"/>
      <c r="X738" s="14"/>
      <c r="AB738" s="4"/>
    </row>
    <row r="739" customFormat="false" ht="15.75" hidden="false" customHeight="false" outlineLevel="0" collapsed="false">
      <c r="A739" s="2"/>
      <c r="K739" s="2"/>
      <c r="L739" s="2"/>
      <c r="M739" s="2"/>
      <c r="N739" s="2"/>
      <c r="O739" s="12"/>
      <c r="P739" s="2"/>
      <c r="Q739" s="2"/>
      <c r="R739" s="2"/>
      <c r="T739" s="14"/>
      <c r="V739" s="15"/>
      <c r="W739" s="16"/>
      <c r="X739" s="14"/>
      <c r="AB739" s="4"/>
    </row>
    <row r="740" customFormat="false" ht="15.75" hidden="false" customHeight="false" outlineLevel="0" collapsed="false">
      <c r="A740" s="2"/>
      <c r="K740" s="2"/>
      <c r="L740" s="2"/>
      <c r="M740" s="2"/>
      <c r="N740" s="2"/>
      <c r="O740" s="12"/>
      <c r="P740" s="2"/>
      <c r="Q740" s="2"/>
      <c r="R740" s="2"/>
      <c r="T740" s="14"/>
      <c r="V740" s="15"/>
      <c r="W740" s="16"/>
      <c r="X740" s="14"/>
      <c r="AB740" s="4"/>
    </row>
    <row r="741" customFormat="false" ht="15.75" hidden="false" customHeight="false" outlineLevel="0" collapsed="false">
      <c r="A741" s="2"/>
      <c r="K741" s="2"/>
      <c r="L741" s="2"/>
      <c r="M741" s="2"/>
      <c r="N741" s="2"/>
      <c r="O741" s="12"/>
      <c r="P741" s="2"/>
      <c r="Q741" s="2"/>
      <c r="R741" s="2"/>
      <c r="T741" s="14"/>
      <c r="V741" s="15"/>
      <c r="W741" s="16"/>
      <c r="X741" s="14"/>
      <c r="AB741" s="4"/>
    </row>
    <row r="742" customFormat="false" ht="15.75" hidden="false" customHeight="false" outlineLevel="0" collapsed="false">
      <c r="A742" s="2"/>
      <c r="K742" s="2"/>
      <c r="L742" s="2"/>
      <c r="M742" s="2"/>
      <c r="N742" s="2"/>
      <c r="O742" s="12"/>
      <c r="P742" s="2"/>
      <c r="Q742" s="2"/>
      <c r="R742" s="2"/>
      <c r="T742" s="14"/>
      <c r="V742" s="15"/>
      <c r="W742" s="16"/>
      <c r="X742" s="14"/>
      <c r="AB742" s="4"/>
    </row>
    <row r="743" customFormat="false" ht="15.75" hidden="false" customHeight="false" outlineLevel="0" collapsed="false">
      <c r="A743" s="2"/>
      <c r="K743" s="2"/>
      <c r="L743" s="2"/>
      <c r="M743" s="2"/>
      <c r="N743" s="2"/>
      <c r="O743" s="12"/>
      <c r="P743" s="2"/>
      <c r="Q743" s="2"/>
      <c r="R743" s="2"/>
      <c r="T743" s="14"/>
      <c r="V743" s="15"/>
      <c r="W743" s="16"/>
      <c r="X743" s="14"/>
      <c r="AB743" s="4"/>
    </row>
    <row r="744" customFormat="false" ht="15.75" hidden="false" customHeight="false" outlineLevel="0" collapsed="false">
      <c r="A744" s="2"/>
      <c r="K744" s="2"/>
      <c r="L744" s="2"/>
      <c r="M744" s="2"/>
      <c r="N744" s="2"/>
      <c r="O744" s="12"/>
      <c r="P744" s="2"/>
      <c r="Q744" s="2"/>
      <c r="R744" s="2"/>
      <c r="T744" s="14"/>
      <c r="V744" s="15"/>
      <c r="W744" s="16"/>
      <c r="X744" s="14"/>
      <c r="AB744" s="4"/>
    </row>
    <row r="745" customFormat="false" ht="15.75" hidden="false" customHeight="false" outlineLevel="0" collapsed="false">
      <c r="A745" s="2"/>
      <c r="K745" s="2"/>
      <c r="L745" s="2"/>
      <c r="M745" s="2"/>
      <c r="N745" s="2"/>
      <c r="O745" s="12"/>
      <c r="P745" s="2"/>
      <c r="Q745" s="2"/>
      <c r="R745" s="2"/>
      <c r="T745" s="14"/>
      <c r="V745" s="15"/>
      <c r="W745" s="16"/>
      <c r="X745" s="14"/>
      <c r="AB745" s="4"/>
    </row>
    <row r="746" customFormat="false" ht="15.75" hidden="false" customHeight="false" outlineLevel="0" collapsed="false">
      <c r="A746" s="2"/>
      <c r="K746" s="2"/>
      <c r="L746" s="2"/>
      <c r="M746" s="2"/>
      <c r="N746" s="2"/>
      <c r="O746" s="12"/>
      <c r="P746" s="2"/>
      <c r="Q746" s="2"/>
      <c r="R746" s="2"/>
      <c r="T746" s="14"/>
      <c r="V746" s="15"/>
      <c r="W746" s="16"/>
      <c r="X746" s="14"/>
      <c r="AB746" s="4"/>
    </row>
    <row r="747" customFormat="false" ht="15.75" hidden="false" customHeight="false" outlineLevel="0" collapsed="false">
      <c r="A747" s="2"/>
      <c r="K747" s="2"/>
      <c r="L747" s="2"/>
      <c r="M747" s="2"/>
      <c r="N747" s="2"/>
      <c r="O747" s="12"/>
      <c r="P747" s="2"/>
      <c r="Q747" s="2"/>
      <c r="R747" s="2"/>
      <c r="T747" s="14"/>
      <c r="V747" s="15"/>
      <c r="W747" s="16"/>
      <c r="X747" s="14"/>
      <c r="AB747" s="4"/>
    </row>
    <row r="748" customFormat="false" ht="15.75" hidden="false" customHeight="false" outlineLevel="0" collapsed="false">
      <c r="A748" s="2"/>
      <c r="K748" s="2"/>
      <c r="L748" s="2"/>
      <c r="M748" s="2"/>
      <c r="N748" s="2"/>
      <c r="O748" s="12"/>
      <c r="P748" s="2"/>
      <c r="Q748" s="2"/>
      <c r="R748" s="2"/>
      <c r="T748" s="14"/>
      <c r="V748" s="15"/>
      <c r="W748" s="16"/>
      <c r="X748" s="14"/>
      <c r="AB748" s="4"/>
    </row>
    <row r="749" customFormat="false" ht="15.75" hidden="false" customHeight="false" outlineLevel="0" collapsed="false">
      <c r="A749" s="2"/>
      <c r="K749" s="2"/>
      <c r="L749" s="2"/>
      <c r="M749" s="2"/>
      <c r="N749" s="2"/>
      <c r="O749" s="12"/>
      <c r="P749" s="2"/>
      <c r="Q749" s="2"/>
      <c r="R749" s="2"/>
      <c r="T749" s="14"/>
      <c r="V749" s="15"/>
      <c r="W749" s="16"/>
      <c r="X749" s="14"/>
      <c r="AB749" s="4"/>
    </row>
    <row r="750" customFormat="false" ht="15.75" hidden="false" customHeight="false" outlineLevel="0" collapsed="false">
      <c r="A750" s="2"/>
      <c r="K750" s="2"/>
      <c r="L750" s="2"/>
      <c r="M750" s="2"/>
      <c r="N750" s="2"/>
      <c r="O750" s="12"/>
      <c r="P750" s="2"/>
      <c r="Q750" s="2"/>
      <c r="R750" s="2"/>
      <c r="T750" s="14"/>
      <c r="V750" s="15"/>
      <c r="W750" s="16"/>
      <c r="X750" s="14"/>
      <c r="AB750" s="4"/>
    </row>
    <row r="751" customFormat="false" ht="15.75" hidden="false" customHeight="false" outlineLevel="0" collapsed="false">
      <c r="A751" s="2"/>
      <c r="K751" s="2"/>
      <c r="L751" s="2"/>
      <c r="M751" s="2"/>
      <c r="N751" s="2"/>
      <c r="O751" s="12"/>
      <c r="P751" s="2"/>
      <c r="Q751" s="2"/>
      <c r="R751" s="2"/>
      <c r="T751" s="14"/>
      <c r="V751" s="15"/>
      <c r="W751" s="16"/>
      <c r="X751" s="14"/>
      <c r="AB751" s="4"/>
    </row>
    <row r="752" customFormat="false" ht="15.75" hidden="false" customHeight="false" outlineLevel="0" collapsed="false">
      <c r="A752" s="2"/>
      <c r="K752" s="2"/>
      <c r="L752" s="2"/>
      <c r="M752" s="2"/>
      <c r="N752" s="2"/>
      <c r="O752" s="12"/>
      <c r="P752" s="2"/>
      <c r="Q752" s="2"/>
      <c r="R752" s="2"/>
      <c r="T752" s="14"/>
      <c r="V752" s="15"/>
      <c r="W752" s="16"/>
      <c r="X752" s="14"/>
      <c r="AB752" s="4"/>
    </row>
    <row r="753" customFormat="false" ht="15.75" hidden="false" customHeight="false" outlineLevel="0" collapsed="false">
      <c r="A753" s="2"/>
      <c r="K753" s="2"/>
      <c r="L753" s="2"/>
      <c r="M753" s="2"/>
      <c r="N753" s="2"/>
      <c r="O753" s="12"/>
      <c r="P753" s="2"/>
      <c r="Q753" s="2"/>
      <c r="R753" s="2"/>
      <c r="T753" s="14"/>
      <c r="V753" s="15"/>
      <c r="W753" s="16"/>
      <c r="X753" s="14"/>
      <c r="AB753" s="4"/>
    </row>
    <row r="754" customFormat="false" ht="15.75" hidden="false" customHeight="false" outlineLevel="0" collapsed="false">
      <c r="A754" s="2"/>
      <c r="K754" s="2"/>
      <c r="L754" s="2"/>
      <c r="M754" s="2"/>
      <c r="N754" s="2"/>
      <c r="O754" s="12"/>
      <c r="P754" s="2"/>
      <c r="Q754" s="2"/>
      <c r="R754" s="2"/>
      <c r="T754" s="14"/>
      <c r="V754" s="15"/>
      <c r="W754" s="16"/>
      <c r="X754" s="14"/>
      <c r="AB754" s="4"/>
    </row>
    <row r="755" customFormat="false" ht="15.75" hidden="false" customHeight="false" outlineLevel="0" collapsed="false">
      <c r="A755" s="2"/>
      <c r="K755" s="2"/>
      <c r="L755" s="2"/>
      <c r="M755" s="2"/>
      <c r="N755" s="2"/>
      <c r="O755" s="12"/>
      <c r="P755" s="2"/>
      <c r="Q755" s="2"/>
      <c r="R755" s="2"/>
      <c r="T755" s="14"/>
      <c r="V755" s="15"/>
      <c r="W755" s="16"/>
      <c r="X755" s="14"/>
      <c r="AB755" s="4"/>
    </row>
    <row r="756" customFormat="false" ht="15.75" hidden="false" customHeight="false" outlineLevel="0" collapsed="false">
      <c r="A756" s="2"/>
      <c r="K756" s="2"/>
      <c r="L756" s="2"/>
      <c r="M756" s="2"/>
      <c r="N756" s="2"/>
      <c r="O756" s="12"/>
      <c r="P756" s="2"/>
      <c r="Q756" s="2"/>
      <c r="R756" s="2"/>
      <c r="T756" s="14"/>
      <c r="V756" s="15"/>
      <c r="W756" s="16"/>
      <c r="X756" s="14"/>
      <c r="AB756" s="4"/>
    </row>
    <row r="757" customFormat="false" ht="15.75" hidden="false" customHeight="false" outlineLevel="0" collapsed="false">
      <c r="A757" s="2"/>
      <c r="K757" s="2"/>
      <c r="L757" s="2"/>
      <c r="M757" s="2"/>
      <c r="N757" s="2"/>
      <c r="O757" s="12"/>
      <c r="P757" s="2"/>
      <c r="Q757" s="2"/>
      <c r="R757" s="2"/>
      <c r="T757" s="14"/>
      <c r="V757" s="15"/>
      <c r="W757" s="16"/>
      <c r="X757" s="14"/>
      <c r="AB757" s="4"/>
    </row>
    <row r="758" customFormat="false" ht="15.75" hidden="false" customHeight="false" outlineLevel="0" collapsed="false">
      <c r="A758" s="2"/>
      <c r="K758" s="2"/>
      <c r="L758" s="2"/>
      <c r="M758" s="2"/>
      <c r="N758" s="2"/>
      <c r="O758" s="12"/>
      <c r="P758" s="2"/>
      <c r="Q758" s="2"/>
      <c r="R758" s="2"/>
      <c r="T758" s="14"/>
      <c r="V758" s="15"/>
      <c r="W758" s="16"/>
      <c r="X758" s="14"/>
      <c r="AB758" s="4"/>
    </row>
    <row r="759" customFormat="false" ht="15.75" hidden="false" customHeight="false" outlineLevel="0" collapsed="false">
      <c r="A759" s="2"/>
      <c r="K759" s="2"/>
      <c r="L759" s="2"/>
      <c r="M759" s="2"/>
      <c r="N759" s="2"/>
      <c r="O759" s="12"/>
      <c r="P759" s="2"/>
      <c r="Q759" s="2"/>
      <c r="R759" s="2"/>
      <c r="T759" s="14"/>
      <c r="V759" s="15"/>
      <c r="W759" s="16"/>
      <c r="X759" s="14"/>
      <c r="AB759" s="4"/>
    </row>
    <row r="760" customFormat="false" ht="15.75" hidden="false" customHeight="false" outlineLevel="0" collapsed="false">
      <c r="A760" s="2"/>
      <c r="K760" s="2"/>
      <c r="L760" s="2"/>
      <c r="M760" s="2"/>
      <c r="N760" s="2"/>
      <c r="O760" s="12"/>
      <c r="P760" s="2"/>
      <c r="Q760" s="2"/>
      <c r="R760" s="2"/>
      <c r="T760" s="14"/>
      <c r="V760" s="15"/>
      <c r="W760" s="16"/>
      <c r="X760" s="14"/>
      <c r="AB760" s="4"/>
    </row>
    <row r="761" customFormat="false" ht="15.75" hidden="false" customHeight="false" outlineLevel="0" collapsed="false">
      <c r="A761" s="2"/>
      <c r="K761" s="2"/>
      <c r="L761" s="2"/>
      <c r="M761" s="2"/>
      <c r="N761" s="2"/>
      <c r="O761" s="12"/>
      <c r="P761" s="2"/>
      <c r="Q761" s="2"/>
      <c r="R761" s="2"/>
      <c r="T761" s="14"/>
      <c r="V761" s="15"/>
      <c r="W761" s="16"/>
      <c r="X761" s="14"/>
      <c r="AB761" s="4"/>
    </row>
    <row r="762" customFormat="false" ht="15.75" hidden="false" customHeight="false" outlineLevel="0" collapsed="false">
      <c r="A762" s="2"/>
      <c r="K762" s="2"/>
      <c r="L762" s="2"/>
      <c r="M762" s="2"/>
      <c r="N762" s="2"/>
      <c r="O762" s="12"/>
      <c r="P762" s="2"/>
      <c r="Q762" s="2"/>
      <c r="R762" s="2"/>
      <c r="T762" s="14"/>
      <c r="V762" s="15"/>
      <c r="W762" s="16"/>
      <c r="X762" s="14"/>
      <c r="AB762" s="4"/>
    </row>
    <row r="763" customFormat="false" ht="15.75" hidden="false" customHeight="false" outlineLevel="0" collapsed="false">
      <c r="A763" s="2"/>
      <c r="K763" s="2"/>
      <c r="L763" s="2"/>
      <c r="M763" s="2"/>
      <c r="N763" s="2"/>
      <c r="O763" s="12"/>
      <c r="P763" s="2"/>
      <c r="Q763" s="2"/>
      <c r="R763" s="2"/>
      <c r="T763" s="14"/>
      <c r="V763" s="15"/>
      <c r="W763" s="16"/>
      <c r="X763" s="14"/>
      <c r="AB763" s="4"/>
    </row>
    <row r="764" customFormat="false" ht="15.75" hidden="false" customHeight="false" outlineLevel="0" collapsed="false">
      <c r="A764" s="2"/>
      <c r="K764" s="2"/>
      <c r="L764" s="2"/>
      <c r="M764" s="2"/>
      <c r="N764" s="2"/>
      <c r="O764" s="12"/>
      <c r="P764" s="2"/>
      <c r="Q764" s="2"/>
      <c r="R764" s="2"/>
      <c r="T764" s="14"/>
      <c r="V764" s="15"/>
      <c r="W764" s="16"/>
      <c r="X764" s="14"/>
      <c r="AB764" s="4"/>
    </row>
    <row r="765" customFormat="false" ht="15.75" hidden="false" customHeight="false" outlineLevel="0" collapsed="false">
      <c r="A765" s="2"/>
      <c r="K765" s="2"/>
      <c r="L765" s="2"/>
      <c r="M765" s="2"/>
      <c r="N765" s="2"/>
      <c r="O765" s="12"/>
      <c r="P765" s="2"/>
      <c r="Q765" s="2"/>
      <c r="R765" s="2"/>
      <c r="T765" s="14"/>
      <c r="V765" s="15"/>
      <c r="W765" s="16"/>
      <c r="X765" s="14"/>
      <c r="AB765" s="4"/>
    </row>
    <row r="766" customFormat="false" ht="15.75" hidden="false" customHeight="false" outlineLevel="0" collapsed="false">
      <c r="A766" s="2"/>
      <c r="K766" s="2"/>
      <c r="L766" s="2"/>
      <c r="M766" s="2"/>
      <c r="N766" s="2"/>
      <c r="O766" s="12"/>
      <c r="P766" s="2"/>
      <c r="Q766" s="2"/>
      <c r="R766" s="2"/>
      <c r="T766" s="14"/>
      <c r="V766" s="15"/>
      <c r="W766" s="16"/>
      <c r="X766" s="14"/>
      <c r="AB766" s="4"/>
    </row>
    <row r="767" customFormat="false" ht="15.75" hidden="false" customHeight="false" outlineLevel="0" collapsed="false">
      <c r="A767" s="2"/>
      <c r="K767" s="2"/>
      <c r="L767" s="2"/>
      <c r="M767" s="2"/>
      <c r="N767" s="2"/>
      <c r="O767" s="12"/>
      <c r="P767" s="2"/>
      <c r="Q767" s="2"/>
      <c r="R767" s="2"/>
      <c r="T767" s="14"/>
      <c r="V767" s="15"/>
      <c r="W767" s="16"/>
      <c r="X767" s="14"/>
      <c r="AB767" s="4"/>
    </row>
    <row r="768" customFormat="false" ht="15.75" hidden="false" customHeight="false" outlineLevel="0" collapsed="false">
      <c r="A768" s="2"/>
      <c r="K768" s="2"/>
      <c r="L768" s="2"/>
      <c r="M768" s="2"/>
      <c r="N768" s="2"/>
      <c r="O768" s="12"/>
      <c r="P768" s="2"/>
      <c r="Q768" s="2"/>
      <c r="R768" s="2"/>
      <c r="T768" s="14"/>
      <c r="V768" s="15"/>
      <c r="W768" s="16"/>
      <c r="X768" s="14"/>
      <c r="AB768" s="4"/>
    </row>
    <row r="769" customFormat="false" ht="15.75" hidden="false" customHeight="false" outlineLevel="0" collapsed="false">
      <c r="A769" s="2"/>
      <c r="K769" s="2"/>
      <c r="L769" s="2"/>
      <c r="M769" s="2"/>
      <c r="N769" s="2"/>
      <c r="O769" s="12"/>
      <c r="P769" s="2"/>
      <c r="Q769" s="2"/>
      <c r="R769" s="2"/>
      <c r="T769" s="14"/>
      <c r="V769" s="15"/>
      <c r="W769" s="16"/>
      <c r="X769" s="14"/>
      <c r="AB769" s="4"/>
    </row>
    <row r="770" customFormat="false" ht="15.75" hidden="false" customHeight="false" outlineLevel="0" collapsed="false">
      <c r="A770" s="2"/>
      <c r="K770" s="2"/>
      <c r="L770" s="2"/>
      <c r="M770" s="2"/>
      <c r="N770" s="2"/>
      <c r="O770" s="12"/>
      <c r="P770" s="2"/>
      <c r="Q770" s="2"/>
      <c r="R770" s="2"/>
      <c r="T770" s="14"/>
      <c r="V770" s="15"/>
      <c r="W770" s="16"/>
      <c r="X770" s="14"/>
      <c r="AB770" s="4"/>
    </row>
    <row r="771" customFormat="false" ht="15.75" hidden="false" customHeight="false" outlineLevel="0" collapsed="false">
      <c r="A771" s="2"/>
      <c r="K771" s="2"/>
      <c r="L771" s="2"/>
      <c r="M771" s="2"/>
      <c r="N771" s="2"/>
      <c r="O771" s="12"/>
      <c r="P771" s="2"/>
      <c r="Q771" s="2"/>
      <c r="R771" s="2"/>
      <c r="T771" s="14"/>
      <c r="V771" s="15"/>
      <c r="W771" s="16"/>
      <c r="X771" s="14"/>
      <c r="AB771" s="4"/>
    </row>
    <row r="772" customFormat="false" ht="15.75" hidden="false" customHeight="false" outlineLevel="0" collapsed="false">
      <c r="A772" s="2"/>
      <c r="K772" s="2"/>
      <c r="L772" s="2"/>
      <c r="M772" s="2"/>
      <c r="N772" s="2"/>
      <c r="O772" s="12"/>
      <c r="P772" s="2"/>
      <c r="Q772" s="2"/>
      <c r="R772" s="2"/>
      <c r="T772" s="14"/>
      <c r="V772" s="15"/>
      <c r="W772" s="16"/>
      <c r="X772" s="14"/>
      <c r="AB772" s="4"/>
    </row>
    <row r="773" customFormat="false" ht="15.75" hidden="false" customHeight="false" outlineLevel="0" collapsed="false">
      <c r="A773" s="2"/>
      <c r="K773" s="2"/>
      <c r="L773" s="2"/>
      <c r="M773" s="2"/>
      <c r="N773" s="2"/>
      <c r="O773" s="12"/>
      <c r="P773" s="2"/>
      <c r="Q773" s="2"/>
      <c r="R773" s="2"/>
      <c r="T773" s="14"/>
      <c r="V773" s="15"/>
      <c r="W773" s="16"/>
      <c r="X773" s="14"/>
      <c r="AB773" s="4"/>
    </row>
    <row r="774" customFormat="false" ht="15.75" hidden="false" customHeight="false" outlineLevel="0" collapsed="false">
      <c r="A774" s="2"/>
      <c r="K774" s="2"/>
      <c r="L774" s="2"/>
      <c r="M774" s="2"/>
      <c r="N774" s="2"/>
      <c r="O774" s="12"/>
      <c r="P774" s="2"/>
      <c r="Q774" s="2"/>
      <c r="R774" s="2"/>
      <c r="T774" s="14"/>
      <c r="V774" s="15"/>
      <c r="W774" s="16"/>
      <c r="X774" s="14"/>
      <c r="AB774" s="4"/>
    </row>
    <row r="775" customFormat="false" ht="15.75" hidden="false" customHeight="false" outlineLevel="0" collapsed="false">
      <c r="A775" s="2"/>
      <c r="K775" s="2"/>
      <c r="L775" s="2"/>
      <c r="M775" s="2"/>
      <c r="N775" s="2"/>
      <c r="O775" s="12"/>
      <c r="P775" s="2"/>
      <c r="Q775" s="2"/>
      <c r="R775" s="2"/>
      <c r="T775" s="14"/>
      <c r="V775" s="15"/>
      <c r="W775" s="16"/>
      <c r="X775" s="14"/>
      <c r="AB775" s="4"/>
    </row>
    <row r="776" customFormat="false" ht="15.75" hidden="false" customHeight="false" outlineLevel="0" collapsed="false">
      <c r="A776" s="2"/>
      <c r="K776" s="2"/>
      <c r="L776" s="2"/>
      <c r="M776" s="2"/>
      <c r="N776" s="2"/>
      <c r="O776" s="12"/>
      <c r="P776" s="2"/>
      <c r="Q776" s="2"/>
      <c r="R776" s="2"/>
      <c r="T776" s="14"/>
      <c r="V776" s="15"/>
      <c r="W776" s="16"/>
      <c r="X776" s="14"/>
      <c r="AB776" s="4"/>
    </row>
    <row r="777" customFormat="false" ht="15.75" hidden="false" customHeight="false" outlineLevel="0" collapsed="false">
      <c r="A777" s="2"/>
      <c r="K777" s="2"/>
      <c r="L777" s="2"/>
      <c r="M777" s="2"/>
      <c r="N777" s="2"/>
      <c r="O777" s="12"/>
      <c r="P777" s="2"/>
      <c r="Q777" s="2"/>
      <c r="R777" s="2"/>
      <c r="T777" s="14"/>
      <c r="V777" s="15"/>
      <c r="W777" s="16"/>
      <c r="X777" s="14"/>
      <c r="AB777" s="4"/>
    </row>
    <row r="778" customFormat="false" ht="15.75" hidden="false" customHeight="false" outlineLevel="0" collapsed="false">
      <c r="A778" s="2"/>
      <c r="K778" s="2"/>
      <c r="L778" s="2"/>
      <c r="M778" s="2"/>
      <c r="N778" s="2"/>
      <c r="O778" s="12"/>
      <c r="P778" s="2"/>
      <c r="Q778" s="2"/>
      <c r="R778" s="2"/>
      <c r="T778" s="14"/>
      <c r="V778" s="15"/>
      <c r="W778" s="16"/>
      <c r="X778" s="14"/>
      <c r="AB778" s="4"/>
    </row>
    <row r="779" customFormat="false" ht="15.75" hidden="false" customHeight="false" outlineLevel="0" collapsed="false">
      <c r="A779" s="2"/>
      <c r="K779" s="2"/>
      <c r="L779" s="2"/>
      <c r="M779" s="2"/>
      <c r="N779" s="2"/>
      <c r="O779" s="12"/>
      <c r="P779" s="2"/>
      <c r="Q779" s="2"/>
      <c r="R779" s="2"/>
      <c r="T779" s="14"/>
      <c r="V779" s="15"/>
      <c r="W779" s="16"/>
      <c r="X779" s="14"/>
      <c r="AB779" s="4"/>
    </row>
    <row r="780" customFormat="false" ht="15.75" hidden="false" customHeight="false" outlineLevel="0" collapsed="false">
      <c r="A780" s="2"/>
      <c r="K780" s="2"/>
      <c r="L780" s="2"/>
      <c r="M780" s="2"/>
      <c r="N780" s="2"/>
      <c r="O780" s="12"/>
      <c r="P780" s="2"/>
      <c r="Q780" s="2"/>
      <c r="R780" s="2"/>
      <c r="T780" s="14"/>
      <c r="V780" s="15"/>
      <c r="W780" s="16"/>
      <c r="X780" s="14"/>
      <c r="AB780" s="4"/>
    </row>
    <row r="781" customFormat="false" ht="15.75" hidden="false" customHeight="false" outlineLevel="0" collapsed="false">
      <c r="A781" s="2"/>
      <c r="K781" s="2"/>
      <c r="L781" s="2"/>
      <c r="M781" s="2"/>
      <c r="N781" s="2"/>
      <c r="O781" s="12"/>
      <c r="P781" s="2"/>
      <c r="Q781" s="2"/>
      <c r="R781" s="2"/>
      <c r="T781" s="14"/>
      <c r="V781" s="15"/>
      <c r="W781" s="16"/>
      <c r="X781" s="14"/>
      <c r="AB781" s="4"/>
    </row>
    <row r="782" customFormat="false" ht="15.75" hidden="false" customHeight="false" outlineLevel="0" collapsed="false">
      <c r="A782" s="2"/>
      <c r="K782" s="2"/>
      <c r="L782" s="2"/>
      <c r="M782" s="2"/>
      <c r="N782" s="2"/>
      <c r="O782" s="12"/>
      <c r="P782" s="2"/>
      <c r="Q782" s="2"/>
      <c r="R782" s="2"/>
      <c r="T782" s="14"/>
      <c r="V782" s="15"/>
      <c r="W782" s="16"/>
      <c r="X782" s="14"/>
      <c r="AB782" s="4"/>
    </row>
    <row r="783" customFormat="false" ht="15.75" hidden="false" customHeight="false" outlineLevel="0" collapsed="false">
      <c r="A783" s="2"/>
      <c r="K783" s="2"/>
      <c r="L783" s="2"/>
      <c r="M783" s="2"/>
      <c r="N783" s="2"/>
      <c r="O783" s="12"/>
      <c r="P783" s="2"/>
      <c r="Q783" s="2"/>
      <c r="R783" s="2"/>
      <c r="T783" s="14"/>
      <c r="V783" s="15"/>
      <c r="W783" s="16"/>
      <c r="X783" s="14"/>
      <c r="AB783" s="4"/>
    </row>
    <row r="784" customFormat="false" ht="15.75" hidden="false" customHeight="false" outlineLevel="0" collapsed="false">
      <c r="A784" s="2"/>
      <c r="K784" s="2"/>
      <c r="L784" s="2"/>
      <c r="M784" s="2"/>
      <c r="N784" s="2"/>
      <c r="O784" s="12"/>
      <c r="P784" s="2"/>
      <c r="Q784" s="2"/>
      <c r="R784" s="2"/>
      <c r="T784" s="14"/>
      <c r="V784" s="15"/>
      <c r="W784" s="16"/>
      <c r="X784" s="14"/>
      <c r="AB784" s="4"/>
    </row>
    <row r="785" customFormat="false" ht="15.75" hidden="false" customHeight="false" outlineLevel="0" collapsed="false">
      <c r="A785" s="2"/>
      <c r="K785" s="2"/>
      <c r="L785" s="2"/>
      <c r="M785" s="2"/>
      <c r="N785" s="2"/>
      <c r="O785" s="12"/>
      <c r="P785" s="2"/>
      <c r="Q785" s="2"/>
      <c r="R785" s="2"/>
      <c r="T785" s="14"/>
      <c r="V785" s="15"/>
      <c r="W785" s="16"/>
      <c r="X785" s="14"/>
      <c r="AB785" s="4"/>
    </row>
    <row r="786" customFormat="false" ht="15.75" hidden="false" customHeight="false" outlineLevel="0" collapsed="false">
      <c r="A786" s="2"/>
      <c r="K786" s="2"/>
      <c r="L786" s="2"/>
      <c r="M786" s="2"/>
      <c r="N786" s="2"/>
      <c r="O786" s="12"/>
      <c r="P786" s="2"/>
      <c r="Q786" s="2"/>
      <c r="R786" s="2"/>
      <c r="T786" s="14"/>
      <c r="V786" s="15"/>
      <c r="W786" s="16"/>
      <c r="X786" s="14"/>
      <c r="AB786" s="4"/>
    </row>
    <row r="787" customFormat="false" ht="15.75" hidden="false" customHeight="false" outlineLevel="0" collapsed="false">
      <c r="A787" s="2"/>
      <c r="K787" s="2"/>
      <c r="L787" s="2"/>
      <c r="M787" s="2"/>
      <c r="N787" s="2"/>
      <c r="O787" s="12"/>
      <c r="P787" s="2"/>
      <c r="Q787" s="2"/>
      <c r="R787" s="2"/>
      <c r="T787" s="14"/>
      <c r="V787" s="15"/>
      <c r="W787" s="16"/>
      <c r="X787" s="14"/>
      <c r="AB787" s="4"/>
    </row>
    <row r="788" customFormat="false" ht="15.75" hidden="false" customHeight="false" outlineLevel="0" collapsed="false">
      <c r="A788" s="2"/>
      <c r="K788" s="2"/>
      <c r="L788" s="2"/>
      <c r="M788" s="2"/>
      <c r="N788" s="2"/>
      <c r="O788" s="12"/>
      <c r="P788" s="2"/>
      <c r="Q788" s="2"/>
      <c r="R788" s="2"/>
      <c r="T788" s="14"/>
      <c r="V788" s="15"/>
      <c r="W788" s="16"/>
      <c r="X788" s="14"/>
      <c r="AB788" s="4"/>
    </row>
    <row r="789" customFormat="false" ht="15.75" hidden="false" customHeight="false" outlineLevel="0" collapsed="false">
      <c r="A789" s="2"/>
      <c r="K789" s="2"/>
      <c r="L789" s="2"/>
      <c r="M789" s="2"/>
      <c r="N789" s="2"/>
      <c r="O789" s="12"/>
      <c r="P789" s="2"/>
      <c r="Q789" s="2"/>
      <c r="R789" s="2"/>
      <c r="T789" s="14"/>
      <c r="V789" s="15"/>
      <c r="W789" s="16"/>
      <c r="X789" s="14"/>
      <c r="AB789" s="4"/>
    </row>
    <row r="790" customFormat="false" ht="15.75" hidden="false" customHeight="false" outlineLevel="0" collapsed="false">
      <c r="A790" s="2"/>
      <c r="K790" s="2"/>
      <c r="L790" s="2"/>
      <c r="M790" s="2"/>
      <c r="N790" s="2"/>
      <c r="O790" s="12"/>
      <c r="P790" s="2"/>
      <c r="Q790" s="2"/>
      <c r="R790" s="2"/>
      <c r="T790" s="14"/>
      <c r="V790" s="15"/>
      <c r="W790" s="16"/>
      <c r="X790" s="14"/>
      <c r="AB790" s="4"/>
    </row>
    <row r="791" customFormat="false" ht="15.75" hidden="false" customHeight="false" outlineLevel="0" collapsed="false">
      <c r="A791" s="2"/>
      <c r="K791" s="2"/>
      <c r="L791" s="2"/>
      <c r="M791" s="2"/>
      <c r="N791" s="2"/>
      <c r="O791" s="12"/>
      <c r="P791" s="2"/>
      <c r="Q791" s="2"/>
      <c r="R791" s="2"/>
      <c r="T791" s="14"/>
      <c r="V791" s="15"/>
      <c r="W791" s="16"/>
      <c r="X791" s="14"/>
      <c r="AB791" s="4"/>
    </row>
    <row r="792" customFormat="false" ht="15.75" hidden="false" customHeight="false" outlineLevel="0" collapsed="false">
      <c r="A792" s="2"/>
      <c r="K792" s="2"/>
      <c r="L792" s="2"/>
      <c r="M792" s="2"/>
      <c r="N792" s="2"/>
      <c r="O792" s="12"/>
      <c r="P792" s="2"/>
      <c r="Q792" s="2"/>
      <c r="R792" s="2"/>
      <c r="T792" s="14"/>
      <c r="V792" s="15"/>
      <c r="W792" s="16"/>
      <c r="X792" s="14"/>
      <c r="AB792" s="4"/>
    </row>
    <row r="793" customFormat="false" ht="15.75" hidden="false" customHeight="false" outlineLevel="0" collapsed="false">
      <c r="A793" s="2"/>
      <c r="K793" s="2"/>
      <c r="L793" s="2"/>
      <c r="M793" s="2"/>
      <c r="N793" s="2"/>
      <c r="O793" s="12"/>
      <c r="P793" s="2"/>
      <c r="Q793" s="2"/>
      <c r="R793" s="2"/>
      <c r="T793" s="14"/>
      <c r="V793" s="15"/>
      <c r="W793" s="16"/>
      <c r="X793" s="14"/>
      <c r="AB793" s="4"/>
    </row>
    <row r="794" customFormat="false" ht="15.75" hidden="false" customHeight="false" outlineLevel="0" collapsed="false">
      <c r="A794" s="2"/>
      <c r="K794" s="2"/>
      <c r="L794" s="2"/>
      <c r="M794" s="2"/>
      <c r="N794" s="2"/>
      <c r="O794" s="12"/>
      <c r="P794" s="2"/>
      <c r="Q794" s="2"/>
      <c r="R794" s="2"/>
      <c r="T794" s="14"/>
      <c r="V794" s="15"/>
      <c r="W794" s="16"/>
      <c r="X794" s="14"/>
      <c r="AB794" s="4"/>
    </row>
    <row r="795" customFormat="false" ht="15.75" hidden="false" customHeight="false" outlineLevel="0" collapsed="false">
      <c r="A795" s="2"/>
      <c r="K795" s="2"/>
      <c r="L795" s="2"/>
      <c r="M795" s="2"/>
      <c r="N795" s="2"/>
      <c r="O795" s="12"/>
      <c r="P795" s="2"/>
      <c r="Q795" s="2"/>
      <c r="R795" s="2"/>
      <c r="T795" s="14"/>
      <c r="V795" s="15"/>
      <c r="W795" s="16"/>
      <c r="X795" s="14"/>
      <c r="AB795" s="4"/>
    </row>
    <row r="796" customFormat="false" ht="15.75" hidden="false" customHeight="false" outlineLevel="0" collapsed="false">
      <c r="A796" s="2"/>
      <c r="K796" s="2"/>
      <c r="L796" s="2"/>
      <c r="M796" s="2"/>
      <c r="N796" s="2"/>
      <c r="O796" s="12"/>
      <c r="P796" s="2"/>
      <c r="Q796" s="2"/>
      <c r="R796" s="2"/>
      <c r="T796" s="14"/>
      <c r="V796" s="15"/>
      <c r="W796" s="16"/>
      <c r="X796" s="14"/>
      <c r="AB796" s="4"/>
    </row>
    <row r="797" customFormat="false" ht="15.75" hidden="false" customHeight="false" outlineLevel="0" collapsed="false">
      <c r="A797" s="2"/>
      <c r="K797" s="2"/>
      <c r="L797" s="2"/>
      <c r="M797" s="2"/>
      <c r="N797" s="2"/>
      <c r="O797" s="12"/>
      <c r="P797" s="2"/>
      <c r="Q797" s="2"/>
      <c r="R797" s="2"/>
      <c r="T797" s="14"/>
      <c r="V797" s="15"/>
      <c r="W797" s="16"/>
      <c r="X797" s="14"/>
      <c r="AB797" s="4"/>
    </row>
    <row r="798" customFormat="false" ht="15.75" hidden="false" customHeight="false" outlineLevel="0" collapsed="false">
      <c r="A798" s="2"/>
      <c r="K798" s="2"/>
      <c r="L798" s="2"/>
      <c r="M798" s="2"/>
      <c r="N798" s="2"/>
      <c r="O798" s="12"/>
      <c r="P798" s="2"/>
      <c r="Q798" s="2"/>
      <c r="R798" s="2"/>
      <c r="T798" s="14"/>
      <c r="V798" s="15"/>
      <c r="W798" s="16"/>
      <c r="X798" s="14"/>
      <c r="AB798" s="4"/>
    </row>
    <row r="799" customFormat="false" ht="15.75" hidden="false" customHeight="false" outlineLevel="0" collapsed="false">
      <c r="A799" s="2"/>
      <c r="K799" s="2"/>
      <c r="L799" s="2"/>
      <c r="M799" s="2"/>
      <c r="N799" s="2"/>
      <c r="O799" s="12"/>
      <c r="P799" s="2"/>
      <c r="Q799" s="2"/>
      <c r="R799" s="2"/>
      <c r="T799" s="14"/>
      <c r="V799" s="15"/>
      <c r="W799" s="16"/>
      <c r="X799" s="14"/>
      <c r="AB799" s="4"/>
    </row>
    <row r="800" customFormat="false" ht="15.75" hidden="false" customHeight="false" outlineLevel="0" collapsed="false">
      <c r="A800" s="2"/>
      <c r="K800" s="2"/>
      <c r="L800" s="2"/>
      <c r="M800" s="2"/>
      <c r="N800" s="2"/>
      <c r="O800" s="12"/>
      <c r="P800" s="2"/>
      <c r="Q800" s="2"/>
      <c r="R800" s="2"/>
      <c r="T800" s="14"/>
      <c r="V800" s="15"/>
      <c r="W800" s="16"/>
      <c r="X800" s="14"/>
      <c r="AB800" s="4"/>
    </row>
    <row r="801" customFormat="false" ht="15.75" hidden="false" customHeight="false" outlineLevel="0" collapsed="false">
      <c r="A801" s="2"/>
      <c r="K801" s="2"/>
      <c r="L801" s="2"/>
      <c r="M801" s="2"/>
      <c r="N801" s="2"/>
      <c r="O801" s="12"/>
      <c r="P801" s="2"/>
      <c r="Q801" s="2"/>
      <c r="R801" s="2"/>
      <c r="T801" s="14"/>
      <c r="V801" s="15"/>
      <c r="W801" s="16"/>
      <c r="X801" s="14"/>
      <c r="AB801" s="4"/>
    </row>
    <row r="802" customFormat="false" ht="15.75" hidden="false" customHeight="false" outlineLevel="0" collapsed="false">
      <c r="A802" s="2"/>
      <c r="K802" s="2"/>
      <c r="L802" s="2"/>
      <c r="M802" s="2"/>
      <c r="N802" s="2"/>
      <c r="O802" s="12"/>
      <c r="P802" s="2"/>
      <c r="Q802" s="2"/>
      <c r="R802" s="2"/>
      <c r="T802" s="14"/>
      <c r="V802" s="15"/>
      <c r="W802" s="16"/>
      <c r="X802" s="14"/>
      <c r="AB802" s="4"/>
    </row>
    <row r="803" customFormat="false" ht="15.75" hidden="false" customHeight="false" outlineLevel="0" collapsed="false">
      <c r="A803" s="2"/>
      <c r="K803" s="2"/>
      <c r="L803" s="2"/>
      <c r="M803" s="2"/>
      <c r="N803" s="2"/>
      <c r="O803" s="12"/>
      <c r="P803" s="2"/>
      <c r="Q803" s="2"/>
      <c r="R803" s="2"/>
      <c r="T803" s="14"/>
      <c r="V803" s="15"/>
      <c r="W803" s="16"/>
      <c r="X803" s="14"/>
      <c r="AB803" s="4"/>
    </row>
    <row r="804" customFormat="false" ht="15.75" hidden="false" customHeight="false" outlineLevel="0" collapsed="false">
      <c r="A804" s="2"/>
      <c r="K804" s="2"/>
      <c r="L804" s="2"/>
      <c r="M804" s="2"/>
      <c r="N804" s="2"/>
      <c r="O804" s="12"/>
      <c r="P804" s="2"/>
      <c r="Q804" s="2"/>
      <c r="R804" s="2"/>
      <c r="T804" s="14"/>
      <c r="V804" s="15"/>
      <c r="W804" s="16"/>
      <c r="X804" s="14"/>
      <c r="AB804" s="4"/>
    </row>
    <row r="805" customFormat="false" ht="15.75" hidden="false" customHeight="false" outlineLevel="0" collapsed="false">
      <c r="A805" s="2"/>
      <c r="K805" s="2"/>
      <c r="L805" s="2"/>
      <c r="M805" s="2"/>
      <c r="N805" s="2"/>
      <c r="O805" s="12"/>
      <c r="P805" s="2"/>
      <c r="Q805" s="2"/>
      <c r="R805" s="2"/>
      <c r="T805" s="14"/>
      <c r="V805" s="15"/>
      <c r="W805" s="16"/>
      <c r="X805" s="14"/>
      <c r="AB805" s="4"/>
    </row>
    <row r="806" customFormat="false" ht="15.75" hidden="false" customHeight="false" outlineLevel="0" collapsed="false">
      <c r="A806" s="2"/>
      <c r="K806" s="2"/>
      <c r="L806" s="2"/>
      <c r="M806" s="2"/>
      <c r="N806" s="2"/>
      <c r="O806" s="12"/>
      <c r="P806" s="2"/>
      <c r="Q806" s="2"/>
      <c r="R806" s="2"/>
      <c r="T806" s="14"/>
      <c r="V806" s="15"/>
      <c r="W806" s="16"/>
      <c r="X806" s="14"/>
      <c r="AB806" s="4"/>
    </row>
    <row r="807" customFormat="false" ht="15.75" hidden="false" customHeight="false" outlineLevel="0" collapsed="false">
      <c r="A807" s="2"/>
      <c r="K807" s="2"/>
      <c r="L807" s="2"/>
      <c r="M807" s="2"/>
      <c r="N807" s="2"/>
      <c r="O807" s="12"/>
      <c r="P807" s="2"/>
      <c r="Q807" s="2"/>
      <c r="R807" s="2"/>
      <c r="T807" s="14"/>
      <c r="V807" s="15"/>
      <c r="W807" s="16"/>
      <c r="X807" s="14"/>
      <c r="AB807" s="4"/>
    </row>
    <row r="808" customFormat="false" ht="15.75" hidden="false" customHeight="false" outlineLevel="0" collapsed="false">
      <c r="A808" s="2"/>
      <c r="K808" s="2"/>
      <c r="L808" s="2"/>
      <c r="M808" s="2"/>
      <c r="N808" s="2"/>
      <c r="O808" s="12"/>
      <c r="P808" s="2"/>
      <c r="Q808" s="2"/>
      <c r="R808" s="2"/>
      <c r="T808" s="14"/>
      <c r="V808" s="15"/>
      <c r="W808" s="16"/>
      <c r="X808" s="14"/>
      <c r="AB808" s="4"/>
    </row>
    <row r="809" customFormat="false" ht="15.75" hidden="false" customHeight="false" outlineLevel="0" collapsed="false">
      <c r="A809" s="2"/>
      <c r="K809" s="2"/>
      <c r="L809" s="2"/>
      <c r="M809" s="2"/>
      <c r="N809" s="2"/>
      <c r="O809" s="12"/>
      <c r="P809" s="2"/>
      <c r="Q809" s="2"/>
      <c r="R809" s="2"/>
      <c r="T809" s="14"/>
      <c r="V809" s="15"/>
      <c r="W809" s="16"/>
      <c r="X809" s="14"/>
      <c r="AB809" s="4"/>
    </row>
    <row r="810" customFormat="false" ht="15.75" hidden="false" customHeight="false" outlineLevel="0" collapsed="false">
      <c r="A810" s="2"/>
      <c r="K810" s="2"/>
      <c r="L810" s="2"/>
      <c r="M810" s="2"/>
      <c r="N810" s="2"/>
      <c r="O810" s="12"/>
      <c r="P810" s="2"/>
      <c r="Q810" s="2"/>
      <c r="R810" s="2"/>
      <c r="T810" s="14"/>
      <c r="V810" s="15"/>
      <c r="W810" s="16"/>
      <c r="X810" s="14"/>
      <c r="AB810" s="4"/>
    </row>
    <row r="811" customFormat="false" ht="15.75" hidden="false" customHeight="false" outlineLevel="0" collapsed="false">
      <c r="A811" s="2"/>
      <c r="K811" s="2"/>
      <c r="L811" s="2"/>
      <c r="M811" s="2"/>
      <c r="N811" s="2"/>
      <c r="O811" s="12"/>
      <c r="P811" s="2"/>
      <c r="Q811" s="2"/>
      <c r="R811" s="2"/>
      <c r="T811" s="14"/>
      <c r="V811" s="15"/>
      <c r="W811" s="16"/>
      <c r="X811" s="14"/>
      <c r="AB811" s="4"/>
    </row>
    <row r="812" customFormat="false" ht="15.75" hidden="false" customHeight="false" outlineLevel="0" collapsed="false">
      <c r="A812" s="2"/>
      <c r="K812" s="2"/>
      <c r="L812" s="2"/>
      <c r="M812" s="2"/>
      <c r="N812" s="2"/>
      <c r="O812" s="12"/>
      <c r="P812" s="2"/>
      <c r="Q812" s="2"/>
      <c r="R812" s="2"/>
      <c r="T812" s="14"/>
      <c r="V812" s="15"/>
      <c r="W812" s="16"/>
      <c r="X812" s="14"/>
      <c r="AB812" s="4"/>
    </row>
    <row r="813" customFormat="false" ht="15.75" hidden="false" customHeight="false" outlineLevel="0" collapsed="false">
      <c r="A813" s="2"/>
      <c r="K813" s="2"/>
      <c r="L813" s="2"/>
      <c r="M813" s="2"/>
      <c r="N813" s="2"/>
      <c r="O813" s="12"/>
      <c r="P813" s="2"/>
      <c r="Q813" s="2"/>
      <c r="R813" s="2"/>
      <c r="T813" s="14"/>
      <c r="V813" s="15"/>
      <c r="W813" s="16"/>
      <c r="X813" s="14"/>
      <c r="AB813" s="4"/>
    </row>
    <row r="814" customFormat="false" ht="15.75" hidden="false" customHeight="false" outlineLevel="0" collapsed="false">
      <c r="A814" s="2"/>
      <c r="K814" s="2"/>
      <c r="L814" s="2"/>
      <c r="M814" s="2"/>
      <c r="N814" s="2"/>
      <c r="O814" s="12"/>
      <c r="P814" s="2"/>
      <c r="Q814" s="2"/>
      <c r="R814" s="2"/>
      <c r="T814" s="14"/>
      <c r="V814" s="15"/>
      <c r="W814" s="16"/>
      <c r="X814" s="14"/>
      <c r="AB814" s="4"/>
    </row>
    <row r="815" customFormat="false" ht="15.75" hidden="false" customHeight="false" outlineLevel="0" collapsed="false">
      <c r="A815" s="2"/>
      <c r="K815" s="2"/>
      <c r="L815" s="2"/>
      <c r="M815" s="2"/>
      <c r="N815" s="2"/>
      <c r="O815" s="12"/>
      <c r="P815" s="2"/>
      <c r="Q815" s="2"/>
      <c r="R815" s="2"/>
      <c r="T815" s="14"/>
      <c r="V815" s="15"/>
      <c r="W815" s="16"/>
      <c r="X815" s="14"/>
      <c r="AB815" s="4"/>
    </row>
    <row r="816" customFormat="false" ht="15.75" hidden="false" customHeight="false" outlineLevel="0" collapsed="false">
      <c r="A816" s="2"/>
      <c r="K816" s="2"/>
      <c r="L816" s="2"/>
      <c r="M816" s="2"/>
      <c r="N816" s="2"/>
      <c r="O816" s="12"/>
      <c r="P816" s="2"/>
      <c r="Q816" s="2"/>
      <c r="R816" s="2"/>
      <c r="T816" s="14"/>
      <c r="V816" s="15"/>
      <c r="W816" s="16"/>
      <c r="X816" s="14"/>
      <c r="AB816" s="4"/>
    </row>
    <row r="817" customFormat="false" ht="15.75" hidden="false" customHeight="false" outlineLevel="0" collapsed="false">
      <c r="A817" s="2"/>
      <c r="K817" s="2"/>
      <c r="L817" s="2"/>
      <c r="M817" s="2"/>
      <c r="N817" s="2"/>
      <c r="O817" s="12"/>
      <c r="P817" s="2"/>
      <c r="Q817" s="2"/>
      <c r="R817" s="2"/>
      <c r="T817" s="14"/>
      <c r="V817" s="15"/>
      <c r="W817" s="16"/>
      <c r="X817" s="14"/>
      <c r="AB817" s="4"/>
    </row>
    <row r="818" customFormat="false" ht="15.75" hidden="false" customHeight="false" outlineLevel="0" collapsed="false">
      <c r="A818" s="2"/>
      <c r="K818" s="2"/>
      <c r="L818" s="2"/>
      <c r="M818" s="2"/>
      <c r="N818" s="2"/>
      <c r="O818" s="12"/>
      <c r="P818" s="2"/>
      <c r="Q818" s="2"/>
      <c r="R818" s="2"/>
      <c r="T818" s="14"/>
      <c r="V818" s="15"/>
      <c r="W818" s="16"/>
      <c r="X818" s="14"/>
      <c r="AB818" s="4"/>
    </row>
    <row r="819" customFormat="false" ht="15.75" hidden="false" customHeight="false" outlineLevel="0" collapsed="false">
      <c r="A819" s="2"/>
      <c r="K819" s="2"/>
      <c r="L819" s="2"/>
      <c r="M819" s="2"/>
      <c r="N819" s="2"/>
      <c r="O819" s="12"/>
      <c r="P819" s="2"/>
      <c r="Q819" s="2"/>
      <c r="R819" s="2"/>
      <c r="T819" s="14"/>
      <c r="V819" s="15"/>
      <c r="W819" s="16"/>
      <c r="X819" s="14"/>
      <c r="AB819" s="4"/>
    </row>
    <row r="820" customFormat="false" ht="15.75" hidden="false" customHeight="false" outlineLevel="0" collapsed="false">
      <c r="A820" s="2"/>
      <c r="K820" s="2"/>
      <c r="L820" s="2"/>
      <c r="M820" s="2"/>
      <c r="N820" s="2"/>
      <c r="O820" s="12"/>
      <c r="P820" s="2"/>
      <c r="Q820" s="2"/>
      <c r="R820" s="2"/>
      <c r="T820" s="14"/>
      <c r="V820" s="15"/>
      <c r="W820" s="16"/>
      <c r="X820" s="14"/>
      <c r="AB820" s="4"/>
    </row>
    <row r="821" customFormat="false" ht="15.75" hidden="false" customHeight="false" outlineLevel="0" collapsed="false">
      <c r="A821" s="2"/>
      <c r="K821" s="2"/>
      <c r="L821" s="2"/>
      <c r="M821" s="2"/>
      <c r="N821" s="2"/>
      <c r="O821" s="12"/>
      <c r="P821" s="2"/>
      <c r="Q821" s="2"/>
      <c r="R821" s="2"/>
      <c r="T821" s="14"/>
      <c r="V821" s="15"/>
      <c r="W821" s="16"/>
      <c r="X821" s="14"/>
      <c r="AB821" s="4"/>
    </row>
    <row r="822" customFormat="false" ht="15.75" hidden="false" customHeight="false" outlineLevel="0" collapsed="false">
      <c r="A822" s="2"/>
      <c r="K822" s="2"/>
      <c r="L822" s="2"/>
      <c r="M822" s="2"/>
      <c r="N822" s="2"/>
      <c r="O822" s="12"/>
      <c r="P822" s="2"/>
      <c r="Q822" s="2"/>
      <c r="R822" s="2"/>
      <c r="T822" s="14"/>
      <c r="V822" s="15"/>
      <c r="W822" s="16"/>
      <c r="X822" s="14"/>
      <c r="AB822" s="4"/>
    </row>
    <row r="823" customFormat="false" ht="15.75" hidden="false" customHeight="false" outlineLevel="0" collapsed="false">
      <c r="A823" s="2"/>
      <c r="K823" s="2"/>
      <c r="L823" s="2"/>
      <c r="M823" s="2"/>
      <c r="N823" s="2"/>
      <c r="O823" s="12"/>
      <c r="P823" s="2"/>
      <c r="Q823" s="2"/>
      <c r="R823" s="2"/>
      <c r="T823" s="14"/>
      <c r="V823" s="15"/>
      <c r="W823" s="16"/>
      <c r="X823" s="14"/>
      <c r="AB823" s="4"/>
    </row>
    <row r="824" customFormat="false" ht="15.75" hidden="false" customHeight="false" outlineLevel="0" collapsed="false">
      <c r="A824" s="2"/>
      <c r="K824" s="2"/>
      <c r="L824" s="2"/>
      <c r="M824" s="2"/>
      <c r="N824" s="2"/>
      <c r="O824" s="12"/>
      <c r="P824" s="2"/>
      <c r="Q824" s="2"/>
      <c r="R824" s="2"/>
      <c r="T824" s="14"/>
      <c r="V824" s="15"/>
      <c r="W824" s="16"/>
      <c r="X824" s="14"/>
      <c r="AB824" s="4"/>
    </row>
    <row r="825" customFormat="false" ht="15.75" hidden="false" customHeight="false" outlineLevel="0" collapsed="false">
      <c r="A825" s="2"/>
      <c r="K825" s="2"/>
      <c r="L825" s="2"/>
      <c r="M825" s="2"/>
      <c r="N825" s="2"/>
      <c r="O825" s="12"/>
      <c r="P825" s="2"/>
      <c r="Q825" s="2"/>
      <c r="R825" s="2"/>
      <c r="T825" s="14"/>
      <c r="V825" s="15"/>
      <c r="W825" s="16"/>
      <c r="X825" s="14"/>
      <c r="AB825" s="4"/>
    </row>
    <row r="826" customFormat="false" ht="15.75" hidden="false" customHeight="false" outlineLevel="0" collapsed="false">
      <c r="A826" s="2"/>
      <c r="K826" s="2"/>
      <c r="L826" s="2"/>
      <c r="M826" s="2"/>
      <c r="N826" s="2"/>
      <c r="O826" s="12"/>
      <c r="P826" s="2"/>
      <c r="Q826" s="2"/>
      <c r="R826" s="2"/>
      <c r="T826" s="14"/>
      <c r="V826" s="15"/>
      <c r="W826" s="16"/>
      <c r="X826" s="14"/>
      <c r="AB826" s="4"/>
    </row>
    <row r="827" customFormat="false" ht="15.75" hidden="false" customHeight="false" outlineLevel="0" collapsed="false">
      <c r="A827" s="2"/>
      <c r="K827" s="2"/>
      <c r="L827" s="2"/>
      <c r="M827" s="2"/>
      <c r="N827" s="2"/>
      <c r="O827" s="12"/>
      <c r="P827" s="2"/>
      <c r="Q827" s="2"/>
      <c r="R827" s="2"/>
      <c r="T827" s="14"/>
      <c r="V827" s="15"/>
      <c r="W827" s="16"/>
      <c r="X827" s="14"/>
      <c r="AB827" s="4"/>
    </row>
    <row r="828" customFormat="false" ht="15.75" hidden="false" customHeight="false" outlineLevel="0" collapsed="false">
      <c r="A828" s="2"/>
      <c r="K828" s="2"/>
      <c r="L828" s="2"/>
      <c r="M828" s="2"/>
      <c r="N828" s="2"/>
      <c r="O828" s="12"/>
      <c r="P828" s="2"/>
      <c r="Q828" s="2"/>
      <c r="R828" s="2"/>
      <c r="T828" s="14"/>
      <c r="V828" s="15"/>
      <c r="W828" s="16"/>
      <c r="X828" s="14"/>
      <c r="AB828" s="4"/>
    </row>
    <row r="829" customFormat="false" ht="15.75" hidden="false" customHeight="false" outlineLevel="0" collapsed="false">
      <c r="A829" s="2"/>
      <c r="K829" s="2"/>
      <c r="L829" s="2"/>
      <c r="M829" s="2"/>
      <c r="N829" s="2"/>
      <c r="O829" s="12"/>
      <c r="P829" s="2"/>
      <c r="Q829" s="2"/>
      <c r="R829" s="2"/>
      <c r="T829" s="14"/>
      <c r="V829" s="15"/>
      <c r="W829" s="16"/>
      <c r="X829" s="14"/>
      <c r="AB829" s="4"/>
    </row>
    <row r="830" customFormat="false" ht="15.75" hidden="false" customHeight="false" outlineLevel="0" collapsed="false">
      <c r="A830" s="2"/>
      <c r="K830" s="2"/>
      <c r="L830" s="2"/>
      <c r="M830" s="2"/>
      <c r="N830" s="2"/>
      <c r="O830" s="12"/>
      <c r="P830" s="2"/>
      <c r="Q830" s="2"/>
      <c r="R830" s="2"/>
      <c r="T830" s="14"/>
      <c r="V830" s="15"/>
      <c r="W830" s="16"/>
      <c r="X830" s="14"/>
      <c r="AB830" s="4"/>
    </row>
    <row r="831" customFormat="false" ht="15.75" hidden="false" customHeight="false" outlineLevel="0" collapsed="false">
      <c r="A831" s="2"/>
      <c r="K831" s="2"/>
      <c r="L831" s="2"/>
      <c r="M831" s="2"/>
      <c r="N831" s="2"/>
      <c r="O831" s="12"/>
      <c r="P831" s="2"/>
      <c r="Q831" s="2"/>
      <c r="R831" s="2"/>
      <c r="T831" s="14"/>
      <c r="V831" s="15"/>
      <c r="W831" s="16"/>
      <c r="X831" s="14"/>
      <c r="AB831" s="4"/>
    </row>
    <row r="832" customFormat="false" ht="15.75" hidden="false" customHeight="false" outlineLevel="0" collapsed="false">
      <c r="A832" s="2"/>
      <c r="K832" s="2"/>
      <c r="L832" s="2"/>
      <c r="M832" s="2"/>
      <c r="N832" s="2"/>
      <c r="O832" s="12"/>
      <c r="P832" s="2"/>
      <c r="Q832" s="2"/>
      <c r="R832" s="2"/>
      <c r="T832" s="14"/>
      <c r="V832" s="15"/>
      <c r="W832" s="16"/>
      <c r="X832" s="14"/>
      <c r="AB832" s="4"/>
    </row>
    <row r="833" customFormat="false" ht="15.75" hidden="false" customHeight="false" outlineLevel="0" collapsed="false">
      <c r="A833" s="2"/>
      <c r="K833" s="2"/>
      <c r="L833" s="2"/>
      <c r="M833" s="2"/>
      <c r="N833" s="2"/>
      <c r="O833" s="12"/>
      <c r="P833" s="2"/>
      <c r="Q833" s="2"/>
      <c r="R833" s="2"/>
      <c r="T833" s="14"/>
      <c r="V833" s="15"/>
      <c r="W833" s="16"/>
      <c r="X833" s="14"/>
      <c r="AB833" s="4"/>
    </row>
    <row r="834" customFormat="false" ht="15.75" hidden="false" customHeight="false" outlineLevel="0" collapsed="false">
      <c r="A834" s="2"/>
      <c r="K834" s="2"/>
      <c r="L834" s="2"/>
      <c r="M834" s="2"/>
      <c r="N834" s="2"/>
      <c r="O834" s="12"/>
      <c r="P834" s="2"/>
      <c r="Q834" s="2"/>
      <c r="R834" s="2"/>
      <c r="T834" s="14"/>
      <c r="V834" s="15"/>
      <c r="W834" s="16"/>
      <c r="X834" s="14"/>
      <c r="AB834" s="4"/>
    </row>
    <row r="835" customFormat="false" ht="15.75" hidden="false" customHeight="false" outlineLevel="0" collapsed="false">
      <c r="A835" s="2"/>
      <c r="K835" s="2"/>
      <c r="L835" s="2"/>
      <c r="M835" s="2"/>
      <c r="N835" s="2"/>
      <c r="O835" s="12"/>
      <c r="P835" s="2"/>
      <c r="Q835" s="2"/>
      <c r="R835" s="2"/>
      <c r="T835" s="14"/>
      <c r="V835" s="15"/>
      <c r="W835" s="16"/>
      <c r="X835" s="14"/>
      <c r="AB835" s="4"/>
    </row>
    <row r="836" customFormat="false" ht="15.75" hidden="false" customHeight="false" outlineLevel="0" collapsed="false">
      <c r="A836" s="2"/>
      <c r="K836" s="2"/>
      <c r="L836" s="2"/>
      <c r="M836" s="2"/>
      <c r="N836" s="2"/>
      <c r="O836" s="12"/>
      <c r="P836" s="2"/>
      <c r="Q836" s="2"/>
      <c r="R836" s="2"/>
      <c r="T836" s="14"/>
      <c r="V836" s="15"/>
      <c r="W836" s="16"/>
      <c r="X836" s="14"/>
      <c r="AB836" s="4"/>
    </row>
    <row r="837" customFormat="false" ht="15.75" hidden="false" customHeight="false" outlineLevel="0" collapsed="false">
      <c r="A837" s="2"/>
      <c r="K837" s="2"/>
      <c r="L837" s="2"/>
      <c r="M837" s="2"/>
      <c r="N837" s="2"/>
      <c r="O837" s="12"/>
      <c r="P837" s="2"/>
      <c r="Q837" s="2"/>
      <c r="R837" s="2"/>
      <c r="T837" s="14"/>
      <c r="V837" s="15"/>
      <c r="W837" s="16"/>
      <c r="X837" s="14"/>
      <c r="AB837" s="4"/>
    </row>
    <row r="838" customFormat="false" ht="15.75" hidden="false" customHeight="false" outlineLevel="0" collapsed="false">
      <c r="A838" s="2"/>
      <c r="K838" s="2"/>
      <c r="L838" s="2"/>
      <c r="M838" s="2"/>
      <c r="N838" s="2"/>
      <c r="O838" s="12"/>
      <c r="P838" s="2"/>
      <c r="Q838" s="2"/>
      <c r="R838" s="2"/>
      <c r="T838" s="14"/>
      <c r="V838" s="15"/>
      <c r="W838" s="16"/>
      <c r="X838" s="14"/>
      <c r="AB838" s="4"/>
    </row>
    <row r="839" customFormat="false" ht="15.75" hidden="false" customHeight="false" outlineLevel="0" collapsed="false">
      <c r="A839" s="2"/>
      <c r="K839" s="2"/>
      <c r="L839" s="2"/>
      <c r="M839" s="2"/>
      <c r="N839" s="2"/>
      <c r="O839" s="12"/>
      <c r="P839" s="2"/>
      <c r="Q839" s="2"/>
      <c r="R839" s="2"/>
      <c r="T839" s="14"/>
      <c r="V839" s="15"/>
      <c r="W839" s="16"/>
      <c r="X839" s="14"/>
      <c r="AB839" s="4"/>
    </row>
    <row r="840" customFormat="false" ht="15.75" hidden="false" customHeight="false" outlineLevel="0" collapsed="false">
      <c r="A840" s="2"/>
      <c r="K840" s="2"/>
      <c r="L840" s="2"/>
      <c r="M840" s="2"/>
      <c r="N840" s="2"/>
      <c r="O840" s="12"/>
      <c r="P840" s="2"/>
      <c r="Q840" s="2"/>
      <c r="R840" s="2"/>
      <c r="T840" s="14"/>
      <c r="V840" s="15"/>
      <c r="W840" s="16"/>
      <c r="X840" s="14"/>
      <c r="AB840" s="4"/>
    </row>
    <row r="841" customFormat="false" ht="15.75" hidden="false" customHeight="false" outlineLevel="0" collapsed="false">
      <c r="A841" s="2"/>
      <c r="K841" s="2"/>
      <c r="L841" s="2"/>
      <c r="M841" s="2"/>
      <c r="N841" s="2"/>
      <c r="O841" s="12"/>
      <c r="P841" s="2"/>
      <c r="Q841" s="2"/>
      <c r="R841" s="2"/>
      <c r="T841" s="14"/>
      <c r="V841" s="15"/>
      <c r="W841" s="16"/>
      <c r="X841" s="14"/>
      <c r="AB841" s="4"/>
    </row>
    <row r="842" customFormat="false" ht="15.75" hidden="false" customHeight="false" outlineLevel="0" collapsed="false">
      <c r="A842" s="2"/>
      <c r="K842" s="2"/>
      <c r="L842" s="2"/>
      <c r="M842" s="2"/>
      <c r="N842" s="2"/>
      <c r="O842" s="12"/>
      <c r="P842" s="2"/>
      <c r="Q842" s="2"/>
      <c r="R842" s="2"/>
      <c r="T842" s="14"/>
      <c r="V842" s="15"/>
      <c r="W842" s="16"/>
      <c r="X842" s="14"/>
      <c r="AB842" s="4"/>
    </row>
    <row r="843" customFormat="false" ht="15.75" hidden="false" customHeight="false" outlineLevel="0" collapsed="false">
      <c r="A843" s="2"/>
      <c r="K843" s="2"/>
      <c r="L843" s="2"/>
      <c r="M843" s="2"/>
      <c r="N843" s="2"/>
      <c r="O843" s="12"/>
      <c r="P843" s="2"/>
      <c r="Q843" s="2"/>
      <c r="R843" s="2"/>
      <c r="T843" s="14"/>
      <c r="V843" s="15"/>
      <c r="W843" s="16"/>
      <c r="X843" s="14"/>
      <c r="AB843" s="4"/>
    </row>
    <row r="844" customFormat="false" ht="15.75" hidden="false" customHeight="false" outlineLevel="0" collapsed="false">
      <c r="A844" s="2"/>
      <c r="K844" s="2"/>
      <c r="L844" s="2"/>
      <c r="M844" s="2"/>
      <c r="N844" s="2"/>
      <c r="O844" s="12"/>
      <c r="P844" s="2"/>
      <c r="Q844" s="2"/>
      <c r="R844" s="2"/>
      <c r="T844" s="14"/>
      <c r="V844" s="15"/>
      <c r="W844" s="16"/>
      <c r="X844" s="14"/>
      <c r="AB844" s="4"/>
    </row>
    <row r="845" customFormat="false" ht="15.75" hidden="false" customHeight="false" outlineLevel="0" collapsed="false">
      <c r="A845" s="2"/>
      <c r="K845" s="2"/>
      <c r="L845" s="2"/>
      <c r="M845" s="2"/>
      <c r="N845" s="2"/>
      <c r="O845" s="12"/>
      <c r="P845" s="2"/>
      <c r="Q845" s="2"/>
      <c r="R845" s="2"/>
      <c r="T845" s="14"/>
      <c r="V845" s="15"/>
      <c r="W845" s="16"/>
      <c r="X845" s="14"/>
      <c r="AB845" s="4"/>
    </row>
    <row r="846" customFormat="false" ht="15.75" hidden="false" customHeight="false" outlineLevel="0" collapsed="false">
      <c r="A846" s="2"/>
      <c r="K846" s="2"/>
      <c r="L846" s="2"/>
      <c r="M846" s="2"/>
      <c r="N846" s="2"/>
      <c r="O846" s="12"/>
      <c r="P846" s="2"/>
      <c r="Q846" s="2"/>
      <c r="R846" s="2"/>
      <c r="T846" s="14"/>
      <c r="V846" s="15"/>
      <c r="W846" s="16"/>
      <c r="X846" s="14"/>
      <c r="AB846" s="4"/>
    </row>
    <row r="847" customFormat="false" ht="15.75" hidden="false" customHeight="false" outlineLevel="0" collapsed="false">
      <c r="A847" s="2"/>
      <c r="K847" s="2"/>
      <c r="L847" s="2"/>
      <c r="M847" s="2"/>
      <c r="N847" s="2"/>
      <c r="O847" s="12"/>
      <c r="P847" s="2"/>
      <c r="Q847" s="2"/>
      <c r="R847" s="2"/>
      <c r="T847" s="14"/>
      <c r="V847" s="15"/>
      <c r="W847" s="16"/>
      <c r="X847" s="14"/>
      <c r="AB847" s="4"/>
    </row>
    <row r="848" customFormat="false" ht="15.75" hidden="false" customHeight="false" outlineLevel="0" collapsed="false">
      <c r="A848" s="2"/>
      <c r="K848" s="2"/>
      <c r="L848" s="2"/>
      <c r="M848" s="2"/>
      <c r="N848" s="2"/>
      <c r="O848" s="12"/>
      <c r="P848" s="2"/>
      <c r="Q848" s="2"/>
      <c r="R848" s="2"/>
      <c r="T848" s="14"/>
      <c r="V848" s="15"/>
      <c r="W848" s="16"/>
      <c r="X848" s="14"/>
      <c r="AB848" s="4"/>
    </row>
    <row r="849" customFormat="false" ht="15.75" hidden="false" customHeight="false" outlineLevel="0" collapsed="false">
      <c r="A849" s="2"/>
      <c r="K849" s="2"/>
      <c r="L849" s="2"/>
      <c r="M849" s="2"/>
      <c r="N849" s="2"/>
      <c r="O849" s="12"/>
      <c r="P849" s="2"/>
      <c r="Q849" s="2"/>
      <c r="R849" s="2"/>
      <c r="T849" s="14"/>
      <c r="V849" s="15"/>
      <c r="W849" s="16"/>
      <c r="X849" s="14"/>
      <c r="AB849" s="4"/>
    </row>
    <row r="850" customFormat="false" ht="15.75" hidden="false" customHeight="false" outlineLevel="0" collapsed="false">
      <c r="A850" s="2"/>
      <c r="K850" s="2"/>
      <c r="L850" s="2"/>
      <c r="M850" s="2"/>
      <c r="N850" s="2"/>
      <c r="O850" s="12"/>
      <c r="P850" s="2"/>
      <c r="Q850" s="2"/>
      <c r="R850" s="2"/>
      <c r="T850" s="14"/>
      <c r="V850" s="15"/>
      <c r="W850" s="16"/>
      <c r="X850" s="14"/>
      <c r="AB850" s="4"/>
    </row>
    <row r="851" customFormat="false" ht="15.75" hidden="false" customHeight="false" outlineLevel="0" collapsed="false">
      <c r="A851" s="2"/>
      <c r="K851" s="2"/>
      <c r="L851" s="2"/>
      <c r="M851" s="2"/>
      <c r="N851" s="2"/>
      <c r="O851" s="12"/>
      <c r="P851" s="2"/>
      <c r="Q851" s="2"/>
      <c r="R851" s="2"/>
      <c r="T851" s="14"/>
      <c r="V851" s="15"/>
      <c r="W851" s="16"/>
      <c r="X851" s="14"/>
      <c r="AB851" s="4"/>
    </row>
    <row r="852" customFormat="false" ht="15.75" hidden="false" customHeight="false" outlineLevel="0" collapsed="false">
      <c r="A852" s="2"/>
      <c r="K852" s="2"/>
      <c r="L852" s="2"/>
      <c r="M852" s="2"/>
      <c r="N852" s="2"/>
      <c r="O852" s="12"/>
      <c r="P852" s="2"/>
      <c r="Q852" s="2"/>
      <c r="R852" s="2"/>
      <c r="T852" s="14"/>
      <c r="V852" s="15"/>
      <c r="W852" s="16"/>
      <c r="X852" s="14"/>
      <c r="AB852" s="4"/>
    </row>
    <row r="853" customFormat="false" ht="15.75" hidden="false" customHeight="false" outlineLevel="0" collapsed="false">
      <c r="A853" s="2"/>
      <c r="K853" s="2"/>
      <c r="L853" s="2"/>
      <c r="M853" s="2"/>
      <c r="N853" s="2"/>
      <c r="O853" s="12"/>
      <c r="P853" s="2"/>
      <c r="Q853" s="2"/>
      <c r="R853" s="2"/>
      <c r="T853" s="14"/>
      <c r="V853" s="15"/>
      <c r="W853" s="16"/>
      <c r="X853" s="14"/>
      <c r="AB853" s="4"/>
    </row>
    <row r="854" customFormat="false" ht="15.75" hidden="false" customHeight="false" outlineLevel="0" collapsed="false">
      <c r="A854" s="2"/>
      <c r="K854" s="2"/>
      <c r="L854" s="2"/>
      <c r="M854" s="2"/>
      <c r="N854" s="2"/>
      <c r="O854" s="12"/>
      <c r="P854" s="2"/>
      <c r="Q854" s="2"/>
      <c r="R854" s="2"/>
      <c r="T854" s="14"/>
      <c r="V854" s="15"/>
      <c r="W854" s="16"/>
      <c r="X854" s="14"/>
      <c r="AB854" s="4"/>
    </row>
    <row r="855" customFormat="false" ht="15.75" hidden="false" customHeight="false" outlineLevel="0" collapsed="false">
      <c r="A855" s="2"/>
      <c r="K855" s="2"/>
      <c r="L855" s="2"/>
      <c r="M855" s="2"/>
      <c r="N855" s="2"/>
      <c r="O855" s="12"/>
      <c r="P855" s="2"/>
      <c r="Q855" s="2"/>
      <c r="R855" s="2"/>
      <c r="T855" s="14"/>
      <c r="V855" s="15"/>
      <c r="W855" s="16"/>
      <c r="X855" s="14"/>
      <c r="AB855" s="4"/>
    </row>
    <row r="856" customFormat="false" ht="15.75" hidden="false" customHeight="false" outlineLevel="0" collapsed="false">
      <c r="A856" s="2"/>
      <c r="K856" s="2"/>
      <c r="L856" s="2"/>
      <c r="M856" s="2"/>
      <c r="N856" s="2"/>
      <c r="O856" s="12"/>
      <c r="P856" s="2"/>
      <c r="Q856" s="2"/>
      <c r="R856" s="2"/>
      <c r="T856" s="14"/>
      <c r="V856" s="15"/>
      <c r="W856" s="16"/>
      <c r="X856" s="14"/>
      <c r="AB856" s="4"/>
    </row>
    <row r="857" customFormat="false" ht="15.75" hidden="false" customHeight="false" outlineLevel="0" collapsed="false">
      <c r="A857" s="2"/>
      <c r="K857" s="2"/>
      <c r="L857" s="2"/>
      <c r="M857" s="2"/>
      <c r="N857" s="2"/>
      <c r="O857" s="12"/>
      <c r="P857" s="2"/>
      <c r="Q857" s="2"/>
      <c r="R857" s="2"/>
      <c r="T857" s="14"/>
      <c r="V857" s="15"/>
      <c r="W857" s="16"/>
      <c r="X857" s="14"/>
      <c r="AB857" s="4"/>
    </row>
    <row r="858" customFormat="false" ht="15.75" hidden="false" customHeight="false" outlineLevel="0" collapsed="false">
      <c r="A858" s="2"/>
      <c r="K858" s="2"/>
      <c r="L858" s="2"/>
      <c r="M858" s="2"/>
      <c r="N858" s="2"/>
      <c r="O858" s="12"/>
      <c r="P858" s="2"/>
      <c r="Q858" s="2"/>
      <c r="R858" s="2"/>
      <c r="T858" s="14"/>
      <c r="V858" s="15"/>
      <c r="W858" s="16"/>
      <c r="X858" s="14"/>
      <c r="AB858" s="4"/>
    </row>
    <row r="859" customFormat="false" ht="15.75" hidden="false" customHeight="false" outlineLevel="0" collapsed="false">
      <c r="A859" s="2"/>
      <c r="K859" s="2"/>
      <c r="L859" s="2"/>
      <c r="M859" s="2"/>
      <c r="N859" s="2"/>
      <c r="O859" s="12"/>
      <c r="P859" s="2"/>
      <c r="Q859" s="2"/>
      <c r="R859" s="2"/>
      <c r="T859" s="14"/>
      <c r="V859" s="15"/>
      <c r="W859" s="16"/>
      <c r="X859" s="14"/>
      <c r="AB859" s="4"/>
    </row>
    <row r="860" customFormat="false" ht="15.75" hidden="false" customHeight="false" outlineLevel="0" collapsed="false">
      <c r="A860" s="2"/>
      <c r="K860" s="2"/>
      <c r="L860" s="2"/>
      <c r="M860" s="2"/>
      <c r="N860" s="2"/>
      <c r="O860" s="12"/>
      <c r="P860" s="2"/>
      <c r="Q860" s="2"/>
      <c r="R860" s="2"/>
      <c r="T860" s="14"/>
      <c r="V860" s="15"/>
      <c r="W860" s="16"/>
      <c r="X860" s="14"/>
      <c r="AB860" s="4"/>
    </row>
    <row r="861" customFormat="false" ht="15.75" hidden="false" customHeight="false" outlineLevel="0" collapsed="false">
      <c r="A861" s="2"/>
      <c r="K861" s="2"/>
      <c r="L861" s="2"/>
      <c r="M861" s="2"/>
      <c r="N861" s="2"/>
      <c r="O861" s="12"/>
      <c r="P861" s="2"/>
      <c r="Q861" s="2"/>
      <c r="R861" s="2"/>
      <c r="T861" s="14"/>
      <c r="V861" s="15"/>
      <c r="W861" s="16"/>
      <c r="X861" s="14"/>
      <c r="AB861" s="4"/>
    </row>
    <row r="862" customFormat="false" ht="15.75" hidden="false" customHeight="false" outlineLevel="0" collapsed="false">
      <c r="A862" s="2"/>
      <c r="K862" s="2"/>
      <c r="L862" s="2"/>
      <c r="M862" s="2"/>
      <c r="N862" s="2"/>
      <c r="O862" s="12"/>
      <c r="P862" s="2"/>
      <c r="Q862" s="2"/>
      <c r="R862" s="2"/>
      <c r="T862" s="14"/>
      <c r="V862" s="15"/>
      <c r="W862" s="16"/>
      <c r="X862" s="14"/>
      <c r="AB862" s="4"/>
    </row>
    <row r="863" customFormat="false" ht="15.75" hidden="false" customHeight="false" outlineLevel="0" collapsed="false">
      <c r="A863" s="2"/>
      <c r="K863" s="2"/>
      <c r="L863" s="2"/>
      <c r="M863" s="2"/>
      <c r="N863" s="2"/>
      <c r="O863" s="12"/>
      <c r="P863" s="2"/>
      <c r="Q863" s="2"/>
      <c r="R863" s="2"/>
      <c r="T863" s="14"/>
      <c r="V863" s="15"/>
      <c r="W863" s="16"/>
      <c r="X863" s="14"/>
      <c r="AB863" s="4"/>
    </row>
    <row r="864" customFormat="false" ht="15.75" hidden="false" customHeight="false" outlineLevel="0" collapsed="false">
      <c r="A864" s="2"/>
      <c r="K864" s="2"/>
      <c r="L864" s="2"/>
      <c r="M864" s="2"/>
      <c r="N864" s="2"/>
      <c r="O864" s="12"/>
      <c r="P864" s="2"/>
      <c r="Q864" s="2"/>
      <c r="R864" s="2"/>
      <c r="T864" s="14"/>
      <c r="V864" s="15"/>
      <c r="W864" s="16"/>
      <c r="X864" s="14"/>
      <c r="AB864" s="4"/>
    </row>
    <row r="865" customFormat="false" ht="15.75" hidden="false" customHeight="false" outlineLevel="0" collapsed="false">
      <c r="A865" s="2"/>
      <c r="K865" s="2"/>
      <c r="L865" s="2"/>
      <c r="M865" s="2"/>
      <c r="N865" s="2"/>
      <c r="O865" s="12"/>
      <c r="P865" s="2"/>
      <c r="Q865" s="2"/>
      <c r="R865" s="2"/>
      <c r="T865" s="14"/>
      <c r="V865" s="15"/>
      <c r="W865" s="16"/>
      <c r="X865" s="14"/>
      <c r="AB865" s="4"/>
    </row>
    <row r="866" customFormat="false" ht="15.75" hidden="false" customHeight="false" outlineLevel="0" collapsed="false">
      <c r="A866" s="2"/>
      <c r="K866" s="2"/>
      <c r="L866" s="2"/>
      <c r="M866" s="2"/>
      <c r="N866" s="2"/>
      <c r="O866" s="12"/>
      <c r="P866" s="2"/>
      <c r="Q866" s="2"/>
      <c r="R866" s="2"/>
      <c r="T866" s="14"/>
      <c r="V866" s="15"/>
      <c r="W866" s="16"/>
      <c r="X866" s="14"/>
      <c r="AB866" s="4"/>
    </row>
    <row r="867" customFormat="false" ht="15.75" hidden="false" customHeight="false" outlineLevel="0" collapsed="false">
      <c r="A867" s="2"/>
      <c r="K867" s="2"/>
      <c r="L867" s="2"/>
      <c r="M867" s="2"/>
      <c r="N867" s="2"/>
      <c r="O867" s="12"/>
      <c r="P867" s="2"/>
      <c r="Q867" s="2"/>
      <c r="R867" s="2"/>
      <c r="T867" s="14"/>
      <c r="V867" s="15"/>
      <c r="W867" s="16"/>
      <c r="X867" s="14"/>
      <c r="AB867" s="4"/>
    </row>
    <row r="868" customFormat="false" ht="15.75" hidden="false" customHeight="false" outlineLevel="0" collapsed="false">
      <c r="A868" s="2"/>
      <c r="K868" s="2"/>
      <c r="L868" s="2"/>
      <c r="M868" s="2"/>
      <c r="N868" s="2"/>
      <c r="O868" s="12"/>
      <c r="P868" s="2"/>
      <c r="Q868" s="2"/>
      <c r="R868" s="2"/>
      <c r="T868" s="14"/>
      <c r="V868" s="15"/>
      <c r="W868" s="16"/>
      <c r="X868" s="14"/>
      <c r="AB868" s="4"/>
    </row>
    <row r="869" customFormat="false" ht="15.75" hidden="false" customHeight="false" outlineLevel="0" collapsed="false">
      <c r="A869" s="2"/>
      <c r="K869" s="2"/>
      <c r="L869" s="2"/>
      <c r="M869" s="2"/>
      <c r="N869" s="2"/>
      <c r="O869" s="12"/>
      <c r="P869" s="2"/>
      <c r="Q869" s="2"/>
      <c r="R869" s="2"/>
      <c r="T869" s="14"/>
      <c r="V869" s="15"/>
      <c r="W869" s="16"/>
      <c r="X869" s="14"/>
      <c r="AB869" s="4"/>
    </row>
    <row r="870" customFormat="false" ht="15.75" hidden="false" customHeight="false" outlineLevel="0" collapsed="false">
      <c r="A870" s="2"/>
      <c r="K870" s="2"/>
      <c r="L870" s="2"/>
      <c r="M870" s="2"/>
      <c r="N870" s="2"/>
      <c r="O870" s="12"/>
      <c r="P870" s="2"/>
      <c r="Q870" s="2"/>
      <c r="R870" s="2"/>
      <c r="T870" s="14"/>
      <c r="V870" s="15"/>
      <c r="W870" s="16"/>
      <c r="X870" s="14"/>
      <c r="AB870" s="4"/>
    </row>
    <row r="871" customFormat="false" ht="15.75" hidden="false" customHeight="false" outlineLevel="0" collapsed="false">
      <c r="A871" s="2"/>
      <c r="K871" s="2"/>
      <c r="L871" s="2"/>
      <c r="M871" s="2"/>
      <c r="N871" s="2"/>
      <c r="O871" s="12"/>
      <c r="P871" s="2"/>
      <c r="Q871" s="2"/>
      <c r="R871" s="2"/>
      <c r="T871" s="14"/>
      <c r="V871" s="15"/>
      <c r="W871" s="16"/>
      <c r="X871" s="14"/>
      <c r="AB871" s="4"/>
    </row>
    <row r="872" customFormat="false" ht="15.75" hidden="false" customHeight="false" outlineLevel="0" collapsed="false">
      <c r="A872" s="2"/>
      <c r="K872" s="2"/>
      <c r="L872" s="2"/>
      <c r="M872" s="2"/>
      <c r="N872" s="2"/>
      <c r="O872" s="12"/>
      <c r="P872" s="2"/>
      <c r="Q872" s="2"/>
      <c r="R872" s="2"/>
      <c r="T872" s="14"/>
      <c r="V872" s="15"/>
      <c r="W872" s="16"/>
      <c r="X872" s="14"/>
      <c r="AB872" s="4"/>
    </row>
    <row r="873" customFormat="false" ht="15.75" hidden="false" customHeight="false" outlineLevel="0" collapsed="false">
      <c r="A873" s="2"/>
      <c r="K873" s="2"/>
      <c r="L873" s="2"/>
      <c r="M873" s="2"/>
      <c r="N873" s="2"/>
      <c r="O873" s="12"/>
      <c r="P873" s="2"/>
      <c r="Q873" s="2"/>
      <c r="R873" s="2"/>
      <c r="T873" s="14"/>
      <c r="V873" s="15"/>
      <c r="W873" s="16"/>
      <c r="X873" s="14"/>
      <c r="AB873" s="4"/>
    </row>
    <row r="874" customFormat="false" ht="15.75" hidden="false" customHeight="false" outlineLevel="0" collapsed="false">
      <c r="A874" s="2"/>
      <c r="K874" s="2"/>
      <c r="L874" s="2"/>
      <c r="M874" s="2"/>
      <c r="N874" s="2"/>
      <c r="O874" s="12"/>
      <c r="P874" s="2"/>
      <c r="Q874" s="2"/>
      <c r="R874" s="2"/>
      <c r="T874" s="14"/>
      <c r="V874" s="15"/>
      <c r="W874" s="16"/>
      <c r="X874" s="14"/>
      <c r="AB874" s="4"/>
    </row>
    <row r="875" customFormat="false" ht="15.75" hidden="false" customHeight="false" outlineLevel="0" collapsed="false">
      <c r="A875" s="2"/>
      <c r="K875" s="2"/>
      <c r="L875" s="2"/>
      <c r="M875" s="2"/>
      <c r="N875" s="2"/>
      <c r="O875" s="12"/>
      <c r="P875" s="2"/>
      <c r="Q875" s="2"/>
      <c r="R875" s="2"/>
      <c r="T875" s="14"/>
      <c r="V875" s="15"/>
      <c r="W875" s="16"/>
      <c r="X875" s="14"/>
      <c r="AB875" s="4"/>
    </row>
    <row r="876" customFormat="false" ht="15.75" hidden="false" customHeight="false" outlineLevel="0" collapsed="false">
      <c r="A876" s="2"/>
      <c r="K876" s="2"/>
      <c r="L876" s="2"/>
      <c r="M876" s="2"/>
      <c r="N876" s="2"/>
      <c r="O876" s="12"/>
      <c r="P876" s="2"/>
      <c r="Q876" s="2"/>
      <c r="R876" s="2"/>
      <c r="T876" s="14"/>
      <c r="V876" s="15"/>
      <c r="W876" s="16"/>
      <c r="X876" s="14"/>
      <c r="AB876" s="4"/>
    </row>
    <row r="877" customFormat="false" ht="15.75" hidden="false" customHeight="false" outlineLevel="0" collapsed="false">
      <c r="A877" s="2"/>
      <c r="K877" s="2"/>
      <c r="L877" s="2"/>
      <c r="M877" s="2"/>
      <c r="N877" s="2"/>
      <c r="O877" s="12"/>
      <c r="P877" s="2"/>
      <c r="Q877" s="2"/>
      <c r="R877" s="2"/>
      <c r="T877" s="14"/>
      <c r="V877" s="15"/>
      <c r="W877" s="16"/>
      <c r="X877" s="14"/>
      <c r="AB877" s="4"/>
    </row>
    <row r="878" customFormat="false" ht="15.75" hidden="false" customHeight="false" outlineLevel="0" collapsed="false">
      <c r="A878" s="2"/>
      <c r="K878" s="2"/>
      <c r="L878" s="2"/>
      <c r="M878" s="2"/>
      <c r="N878" s="2"/>
      <c r="O878" s="12"/>
      <c r="P878" s="2"/>
      <c r="Q878" s="2"/>
      <c r="R878" s="2"/>
      <c r="T878" s="14"/>
      <c r="V878" s="15"/>
      <c r="W878" s="16"/>
      <c r="X878" s="14"/>
      <c r="AB878" s="4"/>
    </row>
    <row r="879" customFormat="false" ht="15.75" hidden="false" customHeight="false" outlineLevel="0" collapsed="false">
      <c r="A879" s="2"/>
      <c r="K879" s="2"/>
      <c r="L879" s="2"/>
      <c r="M879" s="2"/>
      <c r="N879" s="2"/>
      <c r="O879" s="12"/>
      <c r="P879" s="2"/>
      <c r="Q879" s="2"/>
      <c r="R879" s="2"/>
      <c r="T879" s="14"/>
      <c r="V879" s="15"/>
      <c r="W879" s="16"/>
      <c r="X879" s="14"/>
      <c r="AB879" s="4"/>
    </row>
    <row r="880" customFormat="false" ht="15.75" hidden="false" customHeight="false" outlineLevel="0" collapsed="false">
      <c r="A880" s="2"/>
      <c r="K880" s="2"/>
      <c r="L880" s="2"/>
      <c r="M880" s="2"/>
      <c r="N880" s="2"/>
      <c r="O880" s="12"/>
      <c r="P880" s="2"/>
      <c r="Q880" s="2"/>
      <c r="R880" s="2"/>
      <c r="T880" s="14"/>
      <c r="V880" s="15"/>
      <c r="W880" s="16"/>
      <c r="X880" s="14"/>
      <c r="AB880" s="4"/>
    </row>
    <row r="881" customFormat="false" ht="15.75" hidden="false" customHeight="false" outlineLevel="0" collapsed="false">
      <c r="A881" s="2"/>
      <c r="K881" s="2"/>
      <c r="L881" s="2"/>
      <c r="M881" s="2"/>
      <c r="N881" s="2"/>
      <c r="O881" s="12"/>
      <c r="P881" s="2"/>
      <c r="Q881" s="2"/>
      <c r="R881" s="2"/>
      <c r="T881" s="14"/>
      <c r="V881" s="15"/>
      <c r="W881" s="16"/>
      <c r="X881" s="14"/>
      <c r="AB881" s="4"/>
    </row>
    <row r="882" customFormat="false" ht="15.75" hidden="false" customHeight="false" outlineLevel="0" collapsed="false">
      <c r="A882" s="2"/>
      <c r="K882" s="2"/>
      <c r="L882" s="2"/>
      <c r="M882" s="2"/>
      <c r="N882" s="2"/>
      <c r="O882" s="12"/>
      <c r="P882" s="2"/>
      <c r="Q882" s="2"/>
      <c r="R882" s="2"/>
      <c r="T882" s="14"/>
      <c r="V882" s="15"/>
      <c r="W882" s="16"/>
      <c r="X882" s="14"/>
      <c r="AB882" s="4"/>
    </row>
    <row r="883" customFormat="false" ht="15.75" hidden="false" customHeight="false" outlineLevel="0" collapsed="false">
      <c r="A883" s="2"/>
      <c r="K883" s="2"/>
      <c r="L883" s="2"/>
      <c r="M883" s="2"/>
      <c r="N883" s="2"/>
      <c r="O883" s="12"/>
      <c r="P883" s="2"/>
      <c r="Q883" s="2"/>
      <c r="R883" s="2"/>
      <c r="T883" s="14"/>
      <c r="V883" s="15"/>
      <c r="W883" s="16"/>
      <c r="X883" s="14"/>
      <c r="AB883" s="4"/>
    </row>
    <row r="884" customFormat="false" ht="15.75" hidden="false" customHeight="false" outlineLevel="0" collapsed="false">
      <c r="A884" s="2"/>
      <c r="K884" s="2"/>
      <c r="L884" s="2"/>
      <c r="M884" s="2"/>
      <c r="N884" s="2"/>
      <c r="O884" s="12"/>
      <c r="P884" s="2"/>
      <c r="Q884" s="2"/>
      <c r="R884" s="2"/>
      <c r="T884" s="14"/>
      <c r="V884" s="15"/>
      <c r="W884" s="16"/>
      <c r="X884" s="14"/>
      <c r="AB884" s="4"/>
    </row>
    <row r="885" customFormat="false" ht="15.75" hidden="false" customHeight="false" outlineLevel="0" collapsed="false">
      <c r="A885" s="2"/>
      <c r="K885" s="2"/>
      <c r="L885" s="2"/>
      <c r="M885" s="2"/>
      <c r="N885" s="2"/>
      <c r="O885" s="12"/>
      <c r="P885" s="2"/>
      <c r="Q885" s="2"/>
      <c r="R885" s="2"/>
      <c r="T885" s="14"/>
      <c r="V885" s="15"/>
      <c r="W885" s="16"/>
      <c r="X885" s="14"/>
      <c r="AB885" s="4"/>
    </row>
    <row r="886" customFormat="false" ht="15.75" hidden="false" customHeight="false" outlineLevel="0" collapsed="false">
      <c r="A886" s="2"/>
      <c r="K886" s="2"/>
      <c r="L886" s="2"/>
      <c r="M886" s="2"/>
      <c r="N886" s="2"/>
      <c r="O886" s="12"/>
      <c r="P886" s="2"/>
      <c r="Q886" s="2"/>
      <c r="R886" s="2"/>
      <c r="T886" s="14"/>
      <c r="V886" s="15"/>
      <c r="W886" s="16"/>
      <c r="X886" s="14"/>
      <c r="AB886" s="4"/>
    </row>
    <row r="887" customFormat="false" ht="15.75" hidden="false" customHeight="false" outlineLevel="0" collapsed="false">
      <c r="A887" s="2"/>
      <c r="K887" s="2"/>
      <c r="L887" s="2"/>
      <c r="M887" s="2"/>
      <c r="N887" s="2"/>
      <c r="O887" s="12"/>
      <c r="P887" s="2"/>
      <c r="Q887" s="2"/>
      <c r="R887" s="2"/>
      <c r="T887" s="14"/>
      <c r="V887" s="15"/>
      <c r="W887" s="16"/>
      <c r="X887" s="14"/>
      <c r="AB887" s="4"/>
    </row>
    <row r="888" customFormat="false" ht="15.75" hidden="false" customHeight="false" outlineLevel="0" collapsed="false">
      <c r="A888" s="2"/>
      <c r="K888" s="2"/>
      <c r="L888" s="2"/>
      <c r="M888" s="2"/>
      <c r="N888" s="2"/>
      <c r="O888" s="12"/>
      <c r="P888" s="2"/>
      <c r="Q888" s="2"/>
      <c r="R888" s="2"/>
      <c r="T888" s="14"/>
      <c r="V888" s="15"/>
      <c r="W888" s="16"/>
      <c r="X888" s="14"/>
      <c r="AB888" s="4"/>
    </row>
    <row r="889" customFormat="false" ht="15.75" hidden="false" customHeight="false" outlineLevel="0" collapsed="false">
      <c r="A889" s="2"/>
      <c r="K889" s="2"/>
      <c r="L889" s="2"/>
      <c r="M889" s="2"/>
      <c r="N889" s="2"/>
      <c r="O889" s="12"/>
      <c r="P889" s="2"/>
      <c r="Q889" s="2"/>
      <c r="R889" s="2"/>
      <c r="T889" s="14"/>
      <c r="V889" s="15"/>
      <c r="W889" s="16"/>
      <c r="X889" s="14"/>
      <c r="AB889" s="4"/>
    </row>
    <row r="890" customFormat="false" ht="15.75" hidden="false" customHeight="false" outlineLevel="0" collapsed="false">
      <c r="A890" s="2"/>
      <c r="K890" s="2"/>
      <c r="L890" s="2"/>
      <c r="M890" s="2"/>
      <c r="N890" s="2"/>
      <c r="O890" s="12"/>
      <c r="P890" s="2"/>
      <c r="Q890" s="2"/>
      <c r="R890" s="2"/>
      <c r="T890" s="14"/>
      <c r="V890" s="15"/>
      <c r="W890" s="16"/>
      <c r="X890" s="14"/>
      <c r="AB890" s="4"/>
    </row>
    <row r="891" customFormat="false" ht="15.75" hidden="false" customHeight="false" outlineLevel="0" collapsed="false">
      <c r="A891" s="2"/>
      <c r="K891" s="2"/>
      <c r="L891" s="2"/>
      <c r="M891" s="2"/>
      <c r="N891" s="2"/>
      <c r="O891" s="12"/>
      <c r="P891" s="2"/>
      <c r="Q891" s="2"/>
      <c r="R891" s="2"/>
      <c r="T891" s="14"/>
      <c r="V891" s="15"/>
      <c r="W891" s="16"/>
      <c r="X891" s="14"/>
      <c r="AB891" s="4"/>
    </row>
    <row r="892" customFormat="false" ht="15.75" hidden="false" customHeight="false" outlineLevel="0" collapsed="false">
      <c r="A892" s="2"/>
      <c r="K892" s="2"/>
      <c r="L892" s="2"/>
      <c r="M892" s="2"/>
      <c r="N892" s="2"/>
      <c r="O892" s="12"/>
      <c r="P892" s="2"/>
      <c r="Q892" s="2"/>
      <c r="R892" s="2"/>
      <c r="T892" s="14"/>
      <c r="V892" s="15"/>
      <c r="W892" s="16"/>
      <c r="X892" s="14"/>
      <c r="AB892" s="4"/>
    </row>
    <row r="893" customFormat="false" ht="15.75" hidden="false" customHeight="false" outlineLevel="0" collapsed="false">
      <c r="A893" s="2"/>
      <c r="K893" s="2"/>
      <c r="L893" s="2"/>
      <c r="M893" s="2"/>
      <c r="N893" s="2"/>
      <c r="O893" s="12"/>
      <c r="P893" s="2"/>
      <c r="Q893" s="2"/>
      <c r="R893" s="2"/>
      <c r="T893" s="14"/>
      <c r="V893" s="15"/>
      <c r="W893" s="16"/>
      <c r="X893" s="14"/>
      <c r="AB893" s="4"/>
    </row>
    <row r="894" customFormat="false" ht="15.75" hidden="false" customHeight="false" outlineLevel="0" collapsed="false">
      <c r="A894" s="2"/>
      <c r="K894" s="2"/>
      <c r="L894" s="2"/>
      <c r="M894" s="2"/>
      <c r="N894" s="2"/>
      <c r="O894" s="12"/>
      <c r="P894" s="2"/>
      <c r="Q894" s="2"/>
      <c r="R894" s="2"/>
      <c r="T894" s="14"/>
      <c r="V894" s="15"/>
      <c r="W894" s="16"/>
      <c r="X894" s="14"/>
      <c r="AB894" s="4"/>
    </row>
    <row r="895" customFormat="false" ht="15.75" hidden="false" customHeight="false" outlineLevel="0" collapsed="false">
      <c r="A895" s="2"/>
      <c r="K895" s="2"/>
      <c r="L895" s="2"/>
      <c r="M895" s="2"/>
      <c r="N895" s="2"/>
      <c r="O895" s="12"/>
      <c r="P895" s="2"/>
      <c r="Q895" s="2"/>
      <c r="R895" s="2"/>
      <c r="T895" s="14"/>
      <c r="V895" s="15"/>
      <c r="W895" s="16"/>
      <c r="X895" s="14"/>
      <c r="AB895" s="4"/>
    </row>
    <row r="896" customFormat="false" ht="15.75" hidden="false" customHeight="false" outlineLevel="0" collapsed="false">
      <c r="A896" s="2"/>
      <c r="K896" s="2"/>
      <c r="L896" s="2"/>
      <c r="M896" s="2"/>
      <c r="N896" s="2"/>
      <c r="O896" s="12"/>
      <c r="P896" s="2"/>
      <c r="Q896" s="2"/>
      <c r="R896" s="2"/>
      <c r="T896" s="14"/>
      <c r="V896" s="15"/>
      <c r="W896" s="16"/>
      <c r="X896" s="14"/>
      <c r="AB896" s="4"/>
    </row>
    <row r="897" customFormat="false" ht="15.75" hidden="false" customHeight="false" outlineLevel="0" collapsed="false">
      <c r="A897" s="2"/>
      <c r="K897" s="2"/>
      <c r="L897" s="2"/>
      <c r="M897" s="2"/>
      <c r="N897" s="2"/>
      <c r="O897" s="12"/>
      <c r="P897" s="2"/>
      <c r="Q897" s="2"/>
      <c r="R897" s="2"/>
      <c r="T897" s="14"/>
      <c r="V897" s="15"/>
      <c r="W897" s="16"/>
      <c r="X897" s="14"/>
      <c r="AB897" s="4"/>
    </row>
    <row r="898" customFormat="false" ht="15.75" hidden="false" customHeight="false" outlineLevel="0" collapsed="false">
      <c r="A898" s="2"/>
      <c r="K898" s="2"/>
      <c r="L898" s="2"/>
      <c r="M898" s="2"/>
      <c r="N898" s="2"/>
      <c r="O898" s="12"/>
      <c r="P898" s="2"/>
      <c r="Q898" s="2"/>
      <c r="R898" s="2"/>
      <c r="T898" s="14"/>
      <c r="V898" s="15"/>
      <c r="W898" s="16"/>
      <c r="X898" s="14"/>
      <c r="AB898" s="4"/>
    </row>
    <row r="899" customFormat="false" ht="15.75" hidden="false" customHeight="false" outlineLevel="0" collapsed="false">
      <c r="A899" s="2"/>
      <c r="K899" s="2"/>
      <c r="L899" s="2"/>
      <c r="M899" s="2"/>
      <c r="N899" s="2"/>
      <c r="O899" s="12"/>
      <c r="P899" s="2"/>
      <c r="Q899" s="2"/>
      <c r="R899" s="2"/>
      <c r="T899" s="14"/>
      <c r="V899" s="15"/>
      <c r="W899" s="16"/>
      <c r="X899" s="14"/>
      <c r="AB899" s="4"/>
    </row>
    <row r="900" customFormat="false" ht="15.75" hidden="false" customHeight="false" outlineLevel="0" collapsed="false">
      <c r="A900" s="2"/>
      <c r="K900" s="2"/>
      <c r="L900" s="2"/>
      <c r="M900" s="2"/>
      <c r="N900" s="2"/>
      <c r="O900" s="12"/>
      <c r="P900" s="2"/>
      <c r="Q900" s="2"/>
      <c r="R900" s="2"/>
      <c r="T900" s="14"/>
      <c r="V900" s="15"/>
      <c r="W900" s="16"/>
      <c r="X900" s="14"/>
      <c r="AB900" s="4"/>
    </row>
    <row r="901" customFormat="false" ht="15.75" hidden="false" customHeight="false" outlineLevel="0" collapsed="false">
      <c r="A901" s="2"/>
      <c r="K901" s="2"/>
      <c r="L901" s="2"/>
      <c r="M901" s="2"/>
      <c r="N901" s="2"/>
      <c r="O901" s="12"/>
      <c r="P901" s="2"/>
      <c r="Q901" s="2"/>
      <c r="R901" s="2"/>
      <c r="T901" s="14"/>
      <c r="V901" s="15"/>
      <c r="W901" s="16"/>
      <c r="X901" s="14"/>
      <c r="AB901" s="4"/>
    </row>
    <row r="902" customFormat="false" ht="15.75" hidden="false" customHeight="false" outlineLevel="0" collapsed="false">
      <c r="A902" s="2"/>
      <c r="K902" s="2"/>
      <c r="L902" s="2"/>
      <c r="M902" s="2"/>
      <c r="N902" s="2"/>
      <c r="O902" s="12"/>
      <c r="P902" s="2"/>
      <c r="Q902" s="2"/>
      <c r="R902" s="2"/>
      <c r="T902" s="14"/>
      <c r="V902" s="15"/>
      <c r="W902" s="16"/>
      <c r="X902" s="14"/>
      <c r="AB902" s="4"/>
    </row>
    <row r="903" customFormat="false" ht="15.75" hidden="false" customHeight="false" outlineLevel="0" collapsed="false">
      <c r="A903" s="2"/>
      <c r="K903" s="2"/>
      <c r="L903" s="2"/>
      <c r="M903" s="2"/>
      <c r="N903" s="2"/>
      <c r="O903" s="12"/>
      <c r="P903" s="2"/>
      <c r="Q903" s="2"/>
      <c r="R903" s="2"/>
      <c r="T903" s="14"/>
      <c r="V903" s="15"/>
      <c r="W903" s="16"/>
      <c r="X903" s="14"/>
      <c r="AB903" s="4"/>
    </row>
    <row r="904" customFormat="false" ht="15.75" hidden="false" customHeight="false" outlineLevel="0" collapsed="false">
      <c r="A904" s="2"/>
      <c r="K904" s="2"/>
      <c r="L904" s="2"/>
      <c r="M904" s="2"/>
      <c r="N904" s="2"/>
      <c r="O904" s="12"/>
      <c r="P904" s="2"/>
      <c r="Q904" s="2"/>
      <c r="R904" s="2"/>
      <c r="T904" s="14"/>
      <c r="V904" s="15"/>
      <c r="W904" s="16"/>
      <c r="X904" s="14"/>
      <c r="AB904" s="4"/>
    </row>
    <row r="905" customFormat="false" ht="15.75" hidden="false" customHeight="false" outlineLevel="0" collapsed="false">
      <c r="A905" s="2"/>
      <c r="K905" s="2"/>
      <c r="L905" s="2"/>
      <c r="M905" s="2"/>
      <c r="N905" s="2"/>
      <c r="O905" s="12"/>
      <c r="P905" s="2"/>
      <c r="Q905" s="2"/>
      <c r="R905" s="2"/>
      <c r="T905" s="14"/>
      <c r="V905" s="15"/>
      <c r="W905" s="16"/>
      <c r="X905" s="14"/>
      <c r="AB905" s="4"/>
    </row>
    <row r="906" customFormat="false" ht="15.75" hidden="false" customHeight="false" outlineLevel="0" collapsed="false">
      <c r="A906" s="2"/>
      <c r="K906" s="2"/>
      <c r="L906" s="2"/>
      <c r="M906" s="2"/>
      <c r="N906" s="2"/>
      <c r="O906" s="12"/>
      <c r="P906" s="2"/>
      <c r="Q906" s="2"/>
      <c r="R906" s="2"/>
      <c r="T906" s="14"/>
      <c r="V906" s="15"/>
      <c r="W906" s="16"/>
      <c r="X906" s="14"/>
      <c r="AB906" s="4"/>
    </row>
    <row r="907" customFormat="false" ht="15.75" hidden="false" customHeight="false" outlineLevel="0" collapsed="false">
      <c r="A907" s="2"/>
      <c r="K907" s="2"/>
      <c r="L907" s="2"/>
      <c r="M907" s="2"/>
      <c r="N907" s="2"/>
      <c r="O907" s="12"/>
      <c r="P907" s="2"/>
      <c r="Q907" s="2"/>
      <c r="R907" s="2"/>
      <c r="T907" s="14"/>
      <c r="V907" s="15"/>
      <c r="W907" s="16"/>
      <c r="X907" s="14"/>
      <c r="AB907" s="4"/>
    </row>
    <row r="908" customFormat="false" ht="15.75" hidden="false" customHeight="false" outlineLevel="0" collapsed="false">
      <c r="A908" s="2"/>
      <c r="K908" s="2"/>
      <c r="L908" s="2"/>
      <c r="M908" s="2"/>
      <c r="N908" s="2"/>
      <c r="O908" s="12"/>
      <c r="P908" s="2"/>
      <c r="Q908" s="2"/>
      <c r="R908" s="2"/>
      <c r="T908" s="14"/>
      <c r="V908" s="15"/>
      <c r="W908" s="16"/>
      <c r="X908" s="14"/>
      <c r="AB908" s="4"/>
    </row>
    <row r="909" customFormat="false" ht="15.75" hidden="false" customHeight="false" outlineLevel="0" collapsed="false">
      <c r="A909" s="2"/>
      <c r="K909" s="2"/>
      <c r="L909" s="2"/>
      <c r="M909" s="2"/>
      <c r="N909" s="2"/>
      <c r="O909" s="12"/>
      <c r="P909" s="2"/>
      <c r="Q909" s="2"/>
      <c r="R909" s="2"/>
      <c r="T909" s="14"/>
      <c r="V909" s="15"/>
      <c r="W909" s="16"/>
      <c r="X909" s="14"/>
      <c r="AB909" s="4"/>
    </row>
    <row r="910" customFormat="false" ht="15.75" hidden="false" customHeight="false" outlineLevel="0" collapsed="false">
      <c r="A910" s="2"/>
      <c r="K910" s="2"/>
      <c r="L910" s="2"/>
      <c r="M910" s="2"/>
      <c r="N910" s="2"/>
      <c r="O910" s="12"/>
      <c r="P910" s="2"/>
      <c r="Q910" s="2"/>
      <c r="R910" s="2"/>
      <c r="T910" s="14"/>
      <c r="V910" s="15"/>
      <c r="W910" s="16"/>
      <c r="X910" s="14"/>
      <c r="AB910" s="4"/>
    </row>
    <row r="911" customFormat="false" ht="15.75" hidden="false" customHeight="false" outlineLevel="0" collapsed="false">
      <c r="A911" s="2"/>
      <c r="K911" s="2"/>
      <c r="L911" s="2"/>
      <c r="M911" s="2"/>
      <c r="N911" s="2"/>
      <c r="O911" s="12"/>
      <c r="P911" s="2"/>
      <c r="Q911" s="2"/>
      <c r="R911" s="2"/>
      <c r="T911" s="14"/>
      <c r="V911" s="15"/>
      <c r="W911" s="16"/>
      <c r="X911" s="14"/>
      <c r="AB911" s="4"/>
    </row>
    <row r="912" customFormat="false" ht="15.75" hidden="false" customHeight="false" outlineLevel="0" collapsed="false">
      <c r="A912" s="2"/>
      <c r="K912" s="2"/>
      <c r="L912" s="2"/>
      <c r="M912" s="2"/>
      <c r="N912" s="2"/>
      <c r="O912" s="12"/>
      <c r="P912" s="2"/>
      <c r="Q912" s="2"/>
      <c r="R912" s="2"/>
      <c r="T912" s="14"/>
      <c r="V912" s="15"/>
      <c r="W912" s="16"/>
      <c r="X912" s="14"/>
      <c r="AB912" s="4"/>
    </row>
    <row r="913" customFormat="false" ht="15.75" hidden="false" customHeight="false" outlineLevel="0" collapsed="false">
      <c r="A913" s="2"/>
      <c r="K913" s="2"/>
      <c r="L913" s="2"/>
      <c r="M913" s="2"/>
      <c r="N913" s="2"/>
      <c r="O913" s="12"/>
      <c r="P913" s="2"/>
      <c r="Q913" s="2"/>
      <c r="R913" s="2"/>
      <c r="T913" s="14"/>
      <c r="V913" s="15"/>
      <c r="W913" s="16"/>
      <c r="X913" s="14"/>
      <c r="AB913" s="4"/>
    </row>
    <row r="914" customFormat="false" ht="15.75" hidden="false" customHeight="false" outlineLevel="0" collapsed="false">
      <c r="A914" s="2"/>
      <c r="K914" s="2"/>
      <c r="L914" s="2"/>
      <c r="M914" s="2"/>
      <c r="N914" s="2"/>
      <c r="O914" s="12"/>
      <c r="P914" s="2"/>
      <c r="Q914" s="2"/>
      <c r="R914" s="2"/>
      <c r="T914" s="14"/>
      <c r="V914" s="15"/>
      <c r="W914" s="16"/>
      <c r="X914" s="14"/>
      <c r="AB914" s="4"/>
    </row>
    <row r="915" customFormat="false" ht="15.75" hidden="false" customHeight="false" outlineLevel="0" collapsed="false">
      <c r="A915" s="2"/>
      <c r="K915" s="2"/>
      <c r="L915" s="2"/>
      <c r="M915" s="2"/>
      <c r="N915" s="2"/>
      <c r="O915" s="12"/>
      <c r="P915" s="2"/>
      <c r="Q915" s="2"/>
      <c r="R915" s="2"/>
      <c r="T915" s="14"/>
      <c r="V915" s="15"/>
      <c r="W915" s="16"/>
      <c r="X915" s="14"/>
      <c r="AB915" s="4"/>
    </row>
    <row r="916" customFormat="false" ht="15.75" hidden="false" customHeight="false" outlineLevel="0" collapsed="false">
      <c r="A916" s="2"/>
      <c r="K916" s="2"/>
      <c r="L916" s="2"/>
      <c r="M916" s="2"/>
      <c r="N916" s="2"/>
      <c r="O916" s="12"/>
      <c r="P916" s="2"/>
      <c r="Q916" s="2"/>
      <c r="R916" s="2"/>
      <c r="T916" s="14"/>
      <c r="V916" s="15"/>
      <c r="W916" s="16"/>
      <c r="X916" s="14"/>
      <c r="AB916" s="4"/>
    </row>
    <row r="917" customFormat="false" ht="15.75" hidden="false" customHeight="false" outlineLevel="0" collapsed="false">
      <c r="A917" s="2"/>
      <c r="K917" s="2"/>
      <c r="L917" s="2"/>
      <c r="M917" s="2"/>
      <c r="N917" s="2"/>
      <c r="O917" s="12"/>
      <c r="P917" s="2"/>
      <c r="Q917" s="2"/>
      <c r="R917" s="2"/>
      <c r="T917" s="14"/>
      <c r="V917" s="15"/>
      <c r="W917" s="16"/>
      <c r="X917" s="14"/>
      <c r="AB917" s="4"/>
    </row>
    <row r="918" customFormat="false" ht="15.75" hidden="false" customHeight="false" outlineLevel="0" collapsed="false">
      <c r="A918" s="2"/>
      <c r="K918" s="2"/>
      <c r="L918" s="2"/>
      <c r="M918" s="2"/>
      <c r="N918" s="2"/>
      <c r="O918" s="12"/>
      <c r="P918" s="2"/>
      <c r="Q918" s="2"/>
      <c r="R918" s="2"/>
      <c r="T918" s="14"/>
      <c r="V918" s="15"/>
      <c r="W918" s="16"/>
      <c r="X918" s="14"/>
      <c r="AB918" s="4"/>
    </row>
    <row r="919" customFormat="false" ht="15.75" hidden="false" customHeight="false" outlineLevel="0" collapsed="false">
      <c r="A919" s="2"/>
      <c r="K919" s="2"/>
      <c r="L919" s="2"/>
      <c r="M919" s="2"/>
      <c r="N919" s="2"/>
      <c r="O919" s="12"/>
      <c r="P919" s="2"/>
      <c r="Q919" s="2"/>
      <c r="R919" s="2"/>
      <c r="T919" s="14"/>
      <c r="V919" s="15"/>
      <c r="W919" s="16"/>
      <c r="X919" s="14"/>
      <c r="AB919" s="4"/>
    </row>
    <row r="920" customFormat="false" ht="15.75" hidden="false" customHeight="false" outlineLevel="0" collapsed="false">
      <c r="A920" s="2"/>
      <c r="K920" s="2"/>
      <c r="L920" s="2"/>
      <c r="M920" s="2"/>
      <c r="N920" s="2"/>
      <c r="O920" s="12"/>
      <c r="P920" s="2"/>
      <c r="Q920" s="2"/>
      <c r="R920" s="2"/>
      <c r="T920" s="14"/>
      <c r="V920" s="15"/>
      <c r="W920" s="16"/>
      <c r="X920" s="14"/>
      <c r="AB920" s="4"/>
    </row>
    <row r="921" customFormat="false" ht="15.75" hidden="false" customHeight="false" outlineLevel="0" collapsed="false">
      <c r="A921" s="2"/>
      <c r="K921" s="2"/>
      <c r="L921" s="2"/>
      <c r="M921" s="2"/>
      <c r="N921" s="2"/>
      <c r="O921" s="12"/>
      <c r="P921" s="2"/>
      <c r="Q921" s="2"/>
      <c r="R921" s="2"/>
      <c r="T921" s="14"/>
      <c r="V921" s="15"/>
      <c r="W921" s="16"/>
      <c r="X921" s="14"/>
      <c r="AB921" s="4"/>
    </row>
    <row r="922" customFormat="false" ht="15.75" hidden="false" customHeight="false" outlineLevel="0" collapsed="false">
      <c r="A922" s="2"/>
      <c r="K922" s="2"/>
      <c r="L922" s="2"/>
      <c r="M922" s="2"/>
      <c r="N922" s="2"/>
      <c r="O922" s="12"/>
      <c r="P922" s="2"/>
      <c r="Q922" s="2"/>
      <c r="R922" s="2"/>
      <c r="T922" s="14"/>
      <c r="V922" s="15"/>
      <c r="W922" s="16"/>
      <c r="X922" s="14"/>
      <c r="AB922" s="4"/>
    </row>
    <row r="923" customFormat="false" ht="15.75" hidden="false" customHeight="false" outlineLevel="0" collapsed="false">
      <c r="A923" s="2"/>
      <c r="K923" s="2"/>
      <c r="L923" s="2"/>
      <c r="M923" s="2"/>
      <c r="N923" s="2"/>
      <c r="O923" s="12"/>
      <c r="P923" s="2"/>
      <c r="Q923" s="2"/>
      <c r="R923" s="2"/>
      <c r="T923" s="14"/>
      <c r="V923" s="15"/>
      <c r="W923" s="16"/>
      <c r="X923" s="14"/>
      <c r="AB923" s="4"/>
    </row>
    <row r="924" customFormat="false" ht="15.75" hidden="false" customHeight="false" outlineLevel="0" collapsed="false">
      <c r="A924" s="2"/>
      <c r="K924" s="2"/>
      <c r="L924" s="2"/>
      <c r="M924" s="2"/>
      <c r="N924" s="2"/>
      <c r="O924" s="12"/>
      <c r="P924" s="2"/>
      <c r="Q924" s="2"/>
      <c r="R924" s="2"/>
      <c r="T924" s="14"/>
      <c r="V924" s="15"/>
      <c r="W924" s="16"/>
      <c r="X924" s="14"/>
      <c r="AB924" s="4"/>
    </row>
    <row r="925" customFormat="false" ht="15.75" hidden="false" customHeight="false" outlineLevel="0" collapsed="false">
      <c r="A925" s="2"/>
      <c r="K925" s="2"/>
      <c r="L925" s="2"/>
      <c r="M925" s="2"/>
      <c r="N925" s="2"/>
      <c r="O925" s="12"/>
      <c r="P925" s="2"/>
      <c r="Q925" s="2"/>
      <c r="R925" s="2"/>
      <c r="T925" s="14"/>
      <c r="V925" s="15"/>
      <c r="W925" s="16"/>
      <c r="X925" s="14"/>
      <c r="AB925" s="4"/>
    </row>
    <row r="926" customFormat="false" ht="15.75" hidden="false" customHeight="false" outlineLevel="0" collapsed="false">
      <c r="A926" s="2"/>
      <c r="K926" s="2"/>
      <c r="L926" s="2"/>
      <c r="M926" s="2"/>
      <c r="N926" s="2"/>
      <c r="O926" s="12"/>
      <c r="P926" s="2"/>
      <c r="Q926" s="2"/>
      <c r="R926" s="2"/>
      <c r="T926" s="14"/>
      <c r="V926" s="15"/>
      <c r="W926" s="16"/>
      <c r="X926" s="14"/>
      <c r="AB926" s="4"/>
    </row>
    <row r="927" customFormat="false" ht="15.75" hidden="false" customHeight="false" outlineLevel="0" collapsed="false">
      <c r="A927" s="2"/>
      <c r="K927" s="2"/>
      <c r="L927" s="2"/>
      <c r="M927" s="2"/>
      <c r="N927" s="2"/>
      <c r="O927" s="12"/>
      <c r="P927" s="2"/>
      <c r="Q927" s="2"/>
      <c r="R927" s="2"/>
      <c r="T927" s="14"/>
      <c r="V927" s="15"/>
      <c r="W927" s="16"/>
      <c r="X927" s="14"/>
      <c r="AB927" s="4"/>
    </row>
    <row r="928" customFormat="false" ht="15.75" hidden="false" customHeight="false" outlineLevel="0" collapsed="false">
      <c r="A928" s="2"/>
      <c r="K928" s="2"/>
      <c r="L928" s="2"/>
      <c r="M928" s="2"/>
      <c r="N928" s="2"/>
      <c r="O928" s="12"/>
      <c r="P928" s="2"/>
      <c r="Q928" s="2"/>
      <c r="R928" s="2"/>
      <c r="T928" s="14"/>
      <c r="V928" s="15"/>
      <c r="W928" s="16"/>
      <c r="X928" s="14"/>
      <c r="AB928" s="4"/>
    </row>
    <row r="929" customFormat="false" ht="15.75" hidden="false" customHeight="false" outlineLevel="0" collapsed="false">
      <c r="A929" s="2"/>
      <c r="K929" s="2"/>
      <c r="L929" s="2"/>
      <c r="M929" s="2"/>
      <c r="N929" s="2"/>
      <c r="O929" s="12"/>
      <c r="P929" s="2"/>
      <c r="Q929" s="2"/>
      <c r="R929" s="2"/>
      <c r="T929" s="14"/>
      <c r="V929" s="15"/>
      <c r="W929" s="16"/>
      <c r="X929" s="14"/>
      <c r="AB929" s="4"/>
    </row>
    <row r="930" customFormat="false" ht="15.75" hidden="false" customHeight="false" outlineLevel="0" collapsed="false">
      <c r="A930" s="2"/>
      <c r="K930" s="2"/>
      <c r="L930" s="2"/>
      <c r="M930" s="2"/>
      <c r="N930" s="2"/>
      <c r="O930" s="12"/>
      <c r="P930" s="2"/>
      <c r="Q930" s="2"/>
      <c r="R930" s="2"/>
      <c r="T930" s="14"/>
      <c r="V930" s="15"/>
      <c r="W930" s="16"/>
      <c r="X930" s="14"/>
      <c r="AB930" s="4"/>
    </row>
    <row r="931" customFormat="false" ht="15.75" hidden="false" customHeight="false" outlineLevel="0" collapsed="false">
      <c r="A931" s="2"/>
      <c r="K931" s="2"/>
      <c r="L931" s="2"/>
      <c r="M931" s="2"/>
      <c r="N931" s="2"/>
      <c r="O931" s="12"/>
      <c r="P931" s="2"/>
      <c r="Q931" s="2"/>
      <c r="R931" s="2"/>
      <c r="T931" s="14"/>
      <c r="V931" s="15"/>
      <c r="W931" s="16"/>
      <c r="X931" s="14"/>
      <c r="AB931" s="4"/>
    </row>
    <row r="932" customFormat="false" ht="15.75" hidden="false" customHeight="false" outlineLevel="0" collapsed="false">
      <c r="A932" s="2"/>
      <c r="K932" s="2"/>
      <c r="L932" s="2"/>
      <c r="M932" s="2"/>
      <c r="N932" s="2"/>
      <c r="O932" s="12"/>
      <c r="P932" s="2"/>
      <c r="Q932" s="2"/>
      <c r="R932" s="2"/>
      <c r="T932" s="14"/>
      <c r="V932" s="15"/>
      <c r="W932" s="16"/>
      <c r="X932" s="14"/>
      <c r="AB932" s="4"/>
    </row>
    <row r="933" customFormat="false" ht="15.75" hidden="false" customHeight="false" outlineLevel="0" collapsed="false">
      <c r="A933" s="2"/>
      <c r="K933" s="2"/>
      <c r="L933" s="2"/>
      <c r="M933" s="2"/>
      <c r="N933" s="2"/>
      <c r="O933" s="12"/>
      <c r="P933" s="2"/>
      <c r="Q933" s="2"/>
      <c r="R933" s="2"/>
      <c r="T933" s="14"/>
      <c r="V933" s="15"/>
      <c r="W933" s="16"/>
      <c r="X933" s="14"/>
      <c r="AB933" s="4"/>
    </row>
    <row r="934" customFormat="false" ht="15.75" hidden="false" customHeight="false" outlineLevel="0" collapsed="false">
      <c r="A934" s="2"/>
      <c r="K934" s="2"/>
      <c r="L934" s="2"/>
      <c r="M934" s="2"/>
      <c r="N934" s="2"/>
      <c r="O934" s="12"/>
      <c r="P934" s="2"/>
      <c r="Q934" s="2"/>
      <c r="R934" s="2"/>
      <c r="T934" s="14"/>
      <c r="V934" s="15"/>
      <c r="W934" s="16"/>
      <c r="X934" s="14"/>
      <c r="AB934" s="4"/>
    </row>
    <row r="935" customFormat="false" ht="15.75" hidden="false" customHeight="false" outlineLevel="0" collapsed="false">
      <c r="A935" s="2"/>
      <c r="K935" s="2"/>
      <c r="L935" s="2"/>
      <c r="M935" s="2"/>
      <c r="N935" s="2"/>
      <c r="O935" s="12"/>
      <c r="P935" s="2"/>
      <c r="Q935" s="2"/>
      <c r="R935" s="2"/>
      <c r="T935" s="14"/>
      <c r="V935" s="15"/>
      <c r="W935" s="16"/>
      <c r="X935" s="14"/>
      <c r="AB935" s="4"/>
    </row>
    <row r="936" customFormat="false" ht="15.75" hidden="false" customHeight="false" outlineLevel="0" collapsed="false">
      <c r="A936" s="2"/>
      <c r="K936" s="2"/>
      <c r="L936" s="2"/>
      <c r="M936" s="2"/>
      <c r="N936" s="2"/>
      <c r="O936" s="12"/>
      <c r="P936" s="2"/>
      <c r="Q936" s="2"/>
      <c r="R936" s="2"/>
      <c r="T936" s="14"/>
      <c r="V936" s="15"/>
      <c r="W936" s="16"/>
      <c r="X936" s="14"/>
      <c r="AB936" s="4"/>
    </row>
    <row r="937" customFormat="false" ht="15.75" hidden="false" customHeight="false" outlineLevel="0" collapsed="false">
      <c r="A937" s="2"/>
      <c r="K937" s="2"/>
      <c r="L937" s="2"/>
      <c r="M937" s="2"/>
      <c r="N937" s="2"/>
      <c r="O937" s="12"/>
      <c r="P937" s="2"/>
      <c r="Q937" s="2"/>
      <c r="R937" s="2"/>
      <c r="T937" s="14"/>
      <c r="V937" s="15"/>
      <c r="W937" s="16"/>
      <c r="X937" s="14"/>
      <c r="AB937" s="4"/>
    </row>
    <row r="938" customFormat="false" ht="15.75" hidden="false" customHeight="false" outlineLevel="0" collapsed="false">
      <c r="A938" s="2"/>
      <c r="K938" s="2"/>
      <c r="L938" s="2"/>
      <c r="M938" s="2"/>
      <c r="N938" s="2"/>
      <c r="O938" s="12"/>
      <c r="P938" s="2"/>
      <c r="Q938" s="2"/>
      <c r="R938" s="2"/>
      <c r="T938" s="14"/>
      <c r="V938" s="15"/>
      <c r="W938" s="16"/>
      <c r="X938" s="14"/>
      <c r="AB938" s="4"/>
    </row>
    <row r="939" customFormat="false" ht="15.75" hidden="false" customHeight="false" outlineLevel="0" collapsed="false">
      <c r="A939" s="2"/>
      <c r="K939" s="2"/>
      <c r="L939" s="2"/>
      <c r="M939" s="2"/>
      <c r="N939" s="2"/>
      <c r="O939" s="12"/>
      <c r="P939" s="2"/>
      <c r="Q939" s="2"/>
      <c r="R939" s="2"/>
      <c r="T939" s="14"/>
      <c r="V939" s="15"/>
      <c r="W939" s="16"/>
      <c r="X939" s="14"/>
      <c r="AB939" s="4"/>
    </row>
    <row r="940" customFormat="false" ht="15.75" hidden="false" customHeight="false" outlineLevel="0" collapsed="false">
      <c r="A940" s="2"/>
      <c r="K940" s="2"/>
      <c r="L940" s="2"/>
      <c r="M940" s="2"/>
      <c r="N940" s="2"/>
      <c r="O940" s="12"/>
      <c r="P940" s="2"/>
      <c r="Q940" s="2"/>
      <c r="R940" s="2"/>
      <c r="T940" s="14"/>
      <c r="V940" s="15"/>
      <c r="W940" s="16"/>
      <c r="X940" s="14"/>
      <c r="AB940" s="4"/>
    </row>
    <row r="941" customFormat="false" ht="15.75" hidden="false" customHeight="false" outlineLevel="0" collapsed="false">
      <c r="A941" s="2"/>
      <c r="K941" s="2"/>
      <c r="L941" s="2"/>
      <c r="M941" s="2"/>
      <c r="N941" s="2"/>
      <c r="O941" s="12"/>
      <c r="P941" s="2"/>
      <c r="Q941" s="2"/>
      <c r="R941" s="2"/>
      <c r="T941" s="14"/>
      <c r="V941" s="15"/>
      <c r="W941" s="16"/>
      <c r="X941" s="14"/>
      <c r="AB941" s="4"/>
    </row>
    <row r="942" customFormat="false" ht="15.75" hidden="false" customHeight="false" outlineLevel="0" collapsed="false">
      <c r="A942" s="2"/>
      <c r="K942" s="2"/>
      <c r="L942" s="2"/>
      <c r="M942" s="2"/>
      <c r="N942" s="2"/>
      <c r="O942" s="12"/>
      <c r="P942" s="2"/>
      <c r="Q942" s="2"/>
      <c r="R942" s="2"/>
      <c r="T942" s="14"/>
      <c r="V942" s="15"/>
      <c r="W942" s="16"/>
      <c r="X942" s="14"/>
      <c r="AB942" s="4"/>
    </row>
    <row r="943" customFormat="false" ht="15.75" hidden="false" customHeight="false" outlineLevel="0" collapsed="false">
      <c r="A943" s="2"/>
      <c r="K943" s="2"/>
      <c r="L943" s="2"/>
      <c r="M943" s="2"/>
      <c r="N943" s="2"/>
      <c r="O943" s="12"/>
      <c r="P943" s="2"/>
      <c r="Q943" s="2"/>
      <c r="R943" s="2"/>
      <c r="T943" s="14"/>
      <c r="V943" s="15"/>
      <c r="W943" s="16"/>
      <c r="X943" s="14"/>
      <c r="AB943" s="4"/>
    </row>
    <row r="944" customFormat="false" ht="15.75" hidden="false" customHeight="false" outlineLevel="0" collapsed="false">
      <c r="A944" s="2"/>
      <c r="K944" s="2"/>
      <c r="L944" s="2"/>
      <c r="M944" s="2"/>
      <c r="N944" s="2"/>
      <c r="O944" s="12"/>
      <c r="P944" s="2"/>
      <c r="Q944" s="2"/>
      <c r="R944" s="2"/>
      <c r="T944" s="14"/>
      <c r="V944" s="15"/>
      <c r="W944" s="16"/>
      <c r="X944" s="14"/>
      <c r="AB944" s="4"/>
    </row>
    <row r="945" customFormat="false" ht="15.75" hidden="false" customHeight="false" outlineLevel="0" collapsed="false">
      <c r="A945" s="2"/>
      <c r="K945" s="2"/>
      <c r="L945" s="2"/>
      <c r="M945" s="2"/>
      <c r="N945" s="2"/>
      <c r="O945" s="12"/>
      <c r="P945" s="2"/>
      <c r="Q945" s="2"/>
      <c r="R945" s="2"/>
      <c r="T945" s="14"/>
      <c r="V945" s="15"/>
      <c r="W945" s="16"/>
      <c r="X945" s="14"/>
      <c r="AB945" s="4"/>
    </row>
    <row r="946" customFormat="false" ht="15.75" hidden="false" customHeight="false" outlineLevel="0" collapsed="false">
      <c r="A946" s="2"/>
      <c r="K946" s="2"/>
      <c r="L946" s="2"/>
      <c r="M946" s="2"/>
      <c r="N946" s="2"/>
      <c r="O946" s="12"/>
      <c r="P946" s="2"/>
      <c r="Q946" s="2"/>
      <c r="R946" s="2"/>
      <c r="T946" s="14"/>
      <c r="V946" s="15"/>
      <c r="W946" s="16"/>
      <c r="X946" s="14"/>
      <c r="AB946" s="4"/>
    </row>
    <row r="947" customFormat="false" ht="15.75" hidden="false" customHeight="false" outlineLevel="0" collapsed="false">
      <c r="A947" s="2"/>
      <c r="K947" s="2"/>
      <c r="L947" s="2"/>
      <c r="M947" s="2"/>
      <c r="N947" s="2"/>
      <c r="O947" s="12"/>
      <c r="P947" s="2"/>
      <c r="Q947" s="2"/>
      <c r="R947" s="2"/>
      <c r="T947" s="14"/>
      <c r="V947" s="15"/>
      <c r="W947" s="16"/>
      <c r="X947" s="14"/>
      <c r="AB947" s="4"/>
    </row>
    <row r="948" customFormat="false" ht="15.75" hidden="false" customHeight="false" outlineLevel="0" collapsed="false">
      <c r="A948" s="2"/>
      <c r="K948" s="2"/>
      <c r="L948" s="2"/>
      <c r="M948" s="2"/>
      <c r="N948" s="2"/>
      <c r="O948" s="12"/>
      <c r="P948" s="2"/>
      <c r="Q948" s="2"/>
      <c r="R948" s="2"/>
      <c r="T948" s="14"/>
      <c r="V948" s="15"/>
      <c r="W948" s="16"/>
      <c r="X948" s="14"/>
      <c r="AB948" s="4"/>
    </row>
    <row r="949" customFormat="false" ht="15.75" hidden="false" customHeight="false" outlineLevel="0" collapsed="false">
      <c r="A949" s="2"/>
      <c r="K949" s="2"/>
      <c r="L949" s="2"/>
      <c r="M949" s="2"/>
      <c r="N949" s="2"/>
      <c r="O949" s="12"/>
      <c r="P949" s="2"/>
      <c r="Q949" s="2"/>
      <c r="R949" s="2"/>
      <c r="T949" s="14"/>
      <c r="V949" s="15"/>
      <c r="W949" s="16"/>
      <c r="X949" s="14"/>
      <c r="AB949" s="4"/>
    </row>
    <row r="950" customFormat="false" ht="15.75" hidden="false" customHeight="false" outlineLevel="0" collapsed="false">
      <c r="A950" s="2"/>
      <c r="K950" s="2"/>
      <c r="L950" s="2"/>
      <c r="M950" s="2"/>
      <c r="N950" s="2"/>
      <c r="O950" s="12"/>
      <c r="P950" s="2"/>
      <c r="Q950" s="2"/>
      <c r="R950" s="2"/>
      <c r="T950" s="14"/>
      <c r="V950" s="15"/>
      <c r="W950" s="16"/>
      <c r="X950" s="14"/>
      <c r="AB950" s="4"/>
    </row>
    <row r="951" customFormat="false" ht="15.75" hidden="false" customHeight="false" outlineLevel="0" collapsed="false">
      <c r="A951" s="2"/>
      <c r="K951" s="2"/>
      <c r="L951" s="2"/>
      <c r="M951" s="2"/>
      <c r="N951" s="2"/>
      <c r="O951" s="12"/>
      <c r="P951" s="2"/>
      <c r="Q951" s="2"/>
      <c r="R951" s="2"/>
      <c r="T951" s="14"/>
      <c r="V951" s="15"/>
      <c r="W951" s="16"/>
      <c r="X951" s="14"/>
      <c r="AB951" s="4"/>
    </row>
    <row r="952" customFormat="false" ht="15.75" hidden="false" customHeight="false" outlineLevel="0" collapsed="false">
      <c r="A952" s="2"/>
      <c r="K952" s="2"/>
      <c r="L952" s="2"/>
      <c r="M952" s="2"/>
      <c r="N952" s="2"/>
      <c r="O952" s="12"/>
      <c r="P952" s="2"/>
      <c r="Q952" s="2"/>
      <c r="R952" s="2"/>
      <c r="T952" s="14"/>
      <c r="V952" s="15"/>
      <c r="W952" s="16"/>
      <c r="X952" s="14"/>
      <c r="AB952" s="4"/>
    </row>
    <row r="953" customFormat="false" ht="15.75" hidden="false" customHeight="false" outlineLevel="0" collapsed="false">
      <c r="A953" s="2"/>
      <c r="K953" s="2"/>
      <c r="L953" s="2"/>
      <c r="M953" s="2"/>
      <c r="N953" s="2"/>
      <c r="O953" s="12"/>
      <c r="P953" s="2"/>
      <c r="Q953" s="2"/>
      <c r="R953" s="2"/>
      <c r="T953" s="14"/>
      <c r="V953" s="15"/>
      <c r="W953" s="16"/>
      <c r="X953" s="14"/>
      <c r="AB953" s="4"/>
    </row>
    <row r="954" customFormat="false" ht="15.75" hidden="false" customHeight="false" outlineLevel="0" collapsed="false">
      <c r="A954" s="2"/>
      <c r="K954" s="2"/>
      <c r="L954" s="2"/>
      <c r="M954" s="2"/>
      <c r="N954" s="2"/>
      <c r="O954" s="12"/>
      <c r="P954" s="2"/>
      <c r="Q954" s="2"/>
      <c r="R954" s="2"/>
      <c r="T954" s="14"/>
      <c r="V954" s="15"/>
      <c r="W954" s="16"/>
      <c r="X954" s="14"/>
      <c r="AB954" s="4"/>
    </row>
    <row r="955" customFormat="false" ht="15.75" hidden="false" customHeight="false" outlineLevel="0" collapsed="false">
      <c r="A955" s="2"/>
      <c r="K955" s="2"/>
      <c r="L955" s="2"/>
      <c r="M955" s="2"/>
      <c r="N955" s="2"/>
      <c r="O955" s="12"/>
      <c r="P955" s="2"/>
      <c r="Q955" s="2"/>
      <c r="R955" s="2"/>
      <c r="T955" s="14"/>
      <c r="V955" s="15"/>
      <c r="W955" s="16"/>
      <c r="X955" s="14"/>
      <c r="AB955" s="4"/>
    </row>
    <row r="956" customFormat="false" ht="15.75" hidden="false" customHeight="false" outlineLevel="0" collapsed="false">
      <c r="A956" s="2"/>
      <c r="K956" s="2"/>
      <c r="L956" s="2"/>
      <c r="M956" s="2"/>
      <c r="N956" s="2"/>
      <c r="O956" s="12"/>
      <c r="P956" s="2"/>
      <c r="Q956" s="2"/>
      <c r="R956" s="2"/>
      <c r="T956" s="14"/>
      <c r="V956" s="15"/>
      <c r="W956" s="16"/>
      <c r="X956" s="14"/>
      <c r="AB956" s="4"/>
    </row>
    <row r="957" customFormat="false" ht="15.75" hidden="false" customHeight="false" outlineLevel="0" collapsed="false">
      <c r="A957" s="2"/>
      <c r="K957" s="2"/>
      <c r="L957" s="2"/>
      <c r="M957" s="2"/>
      <c r="N957" s="2"/>
      <c r="O957" s="12"/>
      <c r="P957" s="2"/>
      <c r="Q957" s="2"/>
      <c r="R957" s="2"/>
      <c r="T957" s="14"/>
      <c r="V957" s="15"/>
      <c r="W957" s="16"/>
      <c r="X957" s="14"/>
      <c r="AB957" s="4"/>
    </row>
    <row r="958" customFormat="false" ht="15.75" hidden="false" customHeight="false" outlineLevel="0" collapsed="false">
      <c r="A958" s="2"/>
      <c r="K958" s="2"/>
      <c r="L958" s="2"/>
      <c r="M958" s="2"/>
      <c r="N958" s="2"/>
      <c r="O958" s="12"/>
      <c r="P958" s="2"/>
      <c r="Q958" s="2"/>
      <c r="R958" s="2"/>
      <c r="T958" s="14"/>
      <c r="V958" s="15"/>
      <c r="W958" s="16"/>
      <c r="X958" s="14"/>
      <c r="AB958" s="4"/>
    </row>
    <row r="959" customFormat="false" ht="15.75" hidden="false" customHeight="false" outlineLevel="0" collapsed="false">
      <c r="A959" s="2"/>
      <c r="K959" s="2"/>
      <c r="L959" s="2"/>
      <c r="M959" s="2"/>
      <c r="N959" s="2"/>
      <c r="O959" s="12"/>
      <c r="P959" s="2"/>
      <c r="Q959" s="2"/>
      <c r="R959" s="2"/>
      <c r="T959" s="14"/>
      <c r="V959" s="15"/>
      <c r="W959" s="16"/>
      <c r="X959" s="14"/>
      <c r="AB959" s="4"/>
    </row>
    <row r="960" customFormat="false" ht="15.75" hidden="false" customHeight="false" outlineLevel="0" collapsed="false">
      <c r="A960" s="2"/>
      <c r="K960" s="2"/>
      <c r="L960" s="2"/>
      <c r="M960" s="2"/>
      <c r="N960" s="2"/>
      <c r="O960" s="12"/>
      <c r="P960" s="2"/>
      <c r="Q960" s="2"/>
      <c r="R960" s="2"/>
      <c r="T960" s="14"/>
      <c r="V960" s="15"/>
      <c r="W960" s="16"/>
      <c r="X960" s="14"/>
      <c r="AB960" s="4"/>
    </row>
    <row r="961" customFormat="false" ht="15.75" hidden="false" customHeight="false" outlineLevel="0" collapsed="false">
      <c r="A961" s="2"/>
      <c r="K961" s="2"/>
      <c r="L961" s="2"/>
      <c r="M961" s="2"/>
      <c r="N961" s="2"/>
      <c r="O961" s="12"/>
      <c r="P961" s="2"/>
      <c r="Q961" s="2"/>
      <c r="R961" s="2"/>
      <c r="T961" s="14"/>
      <c r="V961" s="15"/>
      <c r="W961" s="16"/>
      <c r="X961" s="14"/>
      <c r="AB961" s="4"/>
    </row>
    <row r="962" customFormat="false" ht="15.75" hidden="false" customHeight="false" outlineLevel="0" collapsed="false">
      <c r="A962" s="2"/>
      <c r="K962" s="2"/>
      <c r="L962" s="2"/>
      <c r="M962" s="2"/>
      <c r="N962" s="2"/>
      <c r="O962" s="12"/>
      <c r="P962" s="2"/>
      <c r="Q962" s="2"/>
      <c r="R962" s="2"/>
      <c r="T962" s="14"/>
      <c r="V962" s="15"/>
      <c r="W962" s="16"/>
      <c r="X962" s="14"/>
      <c r="AB962" s="4"/>
    </row>
    <row r="963" customFormat="false" ht="15.75" hidden="false" customHeight="false" outlineLevel="0" collapsed="false">
      <c r="A963" s="2"/>
      <c r="K963" s="2"/>
      <c r="L963" s="2"/>
      <c r="M963" s="2"/>
      <c r="N963" s="2"/>
      <c r="O963" s="12"/>
      <c r="P963" s="2"/>
      <c r="Q963" s="2"/>
      <c r="R963" s="2"/>
      <c r="T963" s="14"/>
      <c r="V963" s="15"/>
      <c r="W963" s="16"/>
      <c r="X963" s="14"/>
      <c r="AB963" s="4"/>
    </row>
    <row r="964" customFormat="false" ht="15.75" hidden="false" customHeight="false" outlineLevel="0" collapsed="false">
      <c r="A964" s="2"/>
      <c r="K964" s="2"/>
      <c r="L964" s="2"/>
      <c r="M964" s="2"/>
      <c r="N964" s="2"/>
      <c r="O964" s="12"/>
      <c r="P964" s="2"/>
      <c r="Q964" s="2"/>
      <c r="R964" s="2"/>
      <c r="T964" s="14"/>
      <c r="V964" s="15"/>
      <c r="W964" s="16"/>
      <c r="X964" s="14"/>
      <c r="AB964" s="4"/>
    </row>
    <row r="965" customFormat="false" ht="15.75" hidden="false" customHeight="false" outlineLevel="0" collapsed="false">
      <c r="A965" s="2"/>
      <c r="K965" s="2"/>
      <c r="L965" s="2"/>
      <c r="M965" s="2"/>
      <c r="N965" s="2"/>
      <c r="O965" s="12"/>
      <c r="P965" s="2"/>
      <c r="Q965" s="2"/>
      <c r="R965" s="2"/>
      <c r="T965" s="14"/>
      <c r="V965" s="15"/>
      <c r="W965" s="16"/>
      <c r="X965" s="14"/>
      <c r="AB965" s="4"/>
    </row>
    <row r="966" customFormat="false" ht="15.75" hidden="false" customHeight="false" outlineLevel="0" collapsed="false">
      <c r="A966" s="2"/>
      <c r="K966" s="2"/>
      <c r="L966" s="2"/>
      <c r="M966" s="2"/>
      <c r="N966" s="2"/>
      <c r="O966" s="12"/>
      <c r="P966" s="2"/>
      <c r="Q966" s="2"/>
      <c r="R966" s="2"/>
      <c r="T966" s="14"/>
      <c r="V966" s="15"/>
      <c r="W966" s="16"/>
      <c r="X966" s="14"/>
      <c r="AB966" s="4"/>
    </row>
    <row r="967" customFormat="false" ht="15.75" hidden="false" customHeight="false" outlineLevel="0" collapsed="false">
      <c r="A967" s="2"/>
      <c r="K967" s="2"/>
      <c r="L967" s="2"/>
      <c r="M967" s="2"/>
      <c r="N967" s="2"/>
      <c r="O967" s="12"/>
      <c r="P967" s="2"/>
      <c r="Q967" s="2"/>
      <c r="R967" s="2"/>
      <c r="T967" s="14"/>
      <c r="V967" s="15"/>
      <c r="W967" s="16"/>
      <c r="X967" s="14"/>
      <c r="AB967" s="4"/>
    </row>
    <row r="968" customFormat="false" ht="15.75" hidden="false" customHeight="false" outlineLevel="0" collapsed="false">
      <c r="A968" s="2"/>
      <c r="K968" s="2"/>
      <c r="L968" s="2"/>
      <c r="M968" s="2"/>
      <c r="N968" s="2"/>
      <c r="O968" s="12"/>
      <c r="P968" s="2"/>
      <c r="Q968" s="2"/>
      <c r="R968" s="2"/>
      <c r="T968" s="14"/>
      <c r="V968" s="15"/>
      <c r="W968" s="16"/>
      <c r="X968" s="14"/>
      <c r="AB968" s="4"/>
    </row>
    <row r="969" customFormat="false" ht="15.75" hidden="false" customHeight="false" outlineLevel="0" collapsed="false">
      <c r="A969" s="2"/>
      <c r="K969" s="2"/>
      <c r="L969" s="2"/>
      <c r="M969" s="2"/>
      <c r="N969" s="2"/>
      <c r="O969" s="12"/>
      <c r="P969" s="2"/>
      <c r="Q969" s="2"/>
      <c r="R969" s="2"/>
      <c r="T969" s="14"/>
      <c r="V969" s="15"/>
      <c r="W969" s="16"/>
      <c r="X969" s="14"/>
      <c r="AB969" s="4"/>
    </row>
    <row r="970" customFormat="false" ht="15.75" hidden="false" customHeight="false" outlineLevel="0" collapsed="false">
      <c r="A970" s="2"/>
      <c r="K970" s="2"/>
      <c r="L970" s="2"/>
      <c r="M970" s="2"/>
      <c r="N970" s="2"/>
      <c r="O970" s="12"/>
      <c r="P970" s="2"/>
      <c r="Q970" s="2"/>
      <c r="R970" s="2"/>
      <c r="T970" s="14"/>
      <c r="V970" s="15"/>
      <c r="W970" s="16"/>
      <c r="X970" s="14"/>
      <c r="AB970" s="4"/>
    </row>
    <row r="971" customFormat="false" ht="15.75" hidden="false" customHeight="false" outlineLevel="0" collapsed="false">
      <c r="A971" s="2"/>
      <c r="K971" s="2"/>
      <c r="L971" s="2"/>
      <c r="M971" s="2"/>
      <c r="N971" s="2"/>
      <c r="O971" s="12"/>
      <c r="P971" s="2"/>
      <c r="Q971" s="2"/>
      <c r="R971" s="2"/>
      <c r="T971" s="14"/>
      <c r="V971" s="15"/>
      <c r="W971" s="16"/>
      <c r="X971" s="14"/>
      <c r="AB971" s="4"/>
    </row>
    <row r="972" customFormat="false" ht="15.75" hidden="false" customHeight="false" outlineLevel="0" collapsed="false">
      <c r="A972" s="2"/>
      <c r="K972" s="2"/>
      <c r="L972" s="2"/>
      <c r="M972" s="2"/>
      <c r="N972" s="2"/>
      <c r="O972" s="12"/>
      <c r="P972" s="2"/>
      <c r="Q972" s="2"/>
      <c r="R972" s="2"/>
      <c r="T972" s="14"/>
      <c r="V972" s="15"/>
      <c r="W972" s="16"/>
      <c r="X972" s="14"/>
      <c r="AB972" s="4"/>
    </row>
    <row r="973" customFormat="false" ht="15.75" hidden="false" customHeight="false" outlineLevel="0" collapsed="false">
      <c r="A973" s="2"/>
      <c r="K973" s="2"/>
      <c r="L973" s="2"/>
      <c r="M973" s="2"/>
      <c r="N973" s="2"/>
      <c r="O973" s="12"/>
      <c r="P973" s="2"/>
      <c r="Q973" s="2"/>
      <c r="R973" s="2"/>
      <c r="T973" s="14"/>
      <c r="V973" s="15"/>
      <c r="W973" s="16"/>
      <c r="X973" s="14"/>
      <c r="AB973" s="4"/>
    </row>
    <row r="974" customFormat="false" ht="15.75" hidden="false" customHeight="false" outlineLevel="0" collapsed="false">
      <c r="A974" s="2"/>
      <c r="K974" s="2"/>
      <c r="L974" s="2"/>
      <c r="M974" s="2"/>
      <c r="N974" s="2"/>
      <c r="O974" s="12"/>
      <c r="P974" s="2"/>
      <c r="Q974" s="2"/>
      <c r="R974" s="2"/>
      <c r="T974" s="14"/>
      <c r="V974" s="15"/>
      <c r="W974" s="16"/>
      <c r="X974" s="14"/>
      <c r="AB974" s="4"/>
    </row>
    <row r="975" customFormat="false" ht="15.75" hidden="false" customHeight="false" outlineLevel="0" collapsed="false">
      <c r="A975" s="2"/>
      <c r="K975" s="2"/>
      <c r="L975" s="2"/>
      <c r="M975" s="2"/>
      <c r="N975" s="2"/>
      <c r="O975" s="12"/>
      <c r="P975" s="2"/>
      <c r="Q975" s="2"/>
      <c r="R975" s="2"/>
      <c r="T975" s="14"/>
      <c r="V975" s="15"/>
      <c r="W975" s="16"/>
      <c r="X975" s="14"/>
      <c r="AB975" s="4"/>
    </row>
    <row r="976" customFormat="false" ht="15.75" hidden="false" customHeight="false" outlineLevel="0" collapsed="false">
      <c r="A976" s="2"/>
      <c r="K976" s="2"/>
      <c r="L976" s="2"/>
      <c r="M976" s="2"/>
      <c r="N976" s="2"/>
      <c r="O976" s="12"/>
      <c r="P976" s="2"/>
      <c r="Q976" s="2"/>
      <c r="R976" s="2"/>
      <c r="T976" s="14"/>
      <c r="V976" s="15"/>
      <c r="W976" s="16"/>
      <c r="X976" s="14"/>
      <c r="AB976" s="4"/>
    </row>
    <row r="977" customFormat="false" ht="15.75" hidden="false" customHeight="false" outlineLevel="0" collapsed="false">
      <c r="A977" s="2"/>
      <c r="K977" s="2"/>
      <c r="L977" s="2"/>
      <c r="M977" s="2"/>
      <c r="N977" s="2"/>
      <c r="O977" s="12"/>
      <c r="P977" s="2"/>
      <c r="Q977" s="2"/>
      <c r="R977" s="2"/>
      <c r="T977" s="14"/>
      <c r="V977" s="15"/>
      <c r="W977" s="16"/>
      <c r="X977" s="14"/>
      <c r="AB977" s="4"/>
    </row>
    <row r="978" customFormat="false" ht="15.75" hidden="false" customHeight="false" outlineLevel="0" collapsed="false">
      <c r="A978" s="2"/>
      <c r="K978" s="2"/>
      <c r="L978" s="2"/>
      <c r="M978" s="2"/>
      <c r="N978" s="2"/>
      <c r="O978" s="12"/>
      <c r="P978" s="2"/>
      <c r="Q978" s="2"/>
      <c r="R978" s="2"/>
      <c r="T978" s="14"/>
      <c r="V978" s="15"/>
      <c r="W978" s="16"/>
      <c r="X978" s="14"/>
      <c r="AB978" s="4"/>
    </row>
    <row r="979" customFormat="false" ht="15.75" hidden="false" customHeight="false" outlineLevel="0" collapsed="false">
      <c r="A979" s="2"/>
      <c r="K979" s="2"/>
      <c r="L979" s="2"/>
      <c r="M979" s="2"/>
      <c r="N979" s="2"/>
      <c r="O979" s="12"/>
      <c r="P979" s="2"/>
      <c r="Q979" s="2"/>
      <c r="R979" s="2"/>
      <c r="T979" s="14"/>
      <c r="V979" s="15"/>
      <c r="W979" s="16"/>
      <c r="X979" s="14"/>
      <c r="AB979" s="4"/>
    </row>
    <row r="980" customFormat="false" ht="15.75" hidden="false" customHeight="false" outlineLevel="0" collapsed="false">
      <c r="A980" s="2"/>
      <c r="K980" s="2"/>
      <c r="L980" s="2"/>
      <c r="M980" s="2"/>
      <c r="N980" s="2"/>
      <c r="O980" s="12"/>
      <c r="P980" s="2"/>
      <c r="Q980" s="2"/>
      <c r="R980" s="2"/>
      <c r="T980" s="14"/>
      <c r="V980" s="15"/>
      <c r="W980" s="16"/>
      <c r="X980" s="14"/>
      <c r="AB980" s="4"/>
    </row>
    <row r="981" customFormat="false" ht="15.75" hidden="false" customHeight="false" outlineLevel="0" collapsed="false">
      <c r="A981" s="2"/>
      <c r="K981" s="2"/>
      <c r="L981" s="2"/>
      <c r="M981" s="2"/>
      <c r="N981" s="2"/>
      <c r="O981" s="12"/>
      <c r="P981" s="2"/>
      <c r="Q981" s="2"/>
      <c r="R981" s="2"/>
      <c r="T981" s="14"/>
      <c r="V981" s="15"/>
      <c r="W981" s="16"/>
      <c r="X981" s="14"/>
      <c r="AB981" s="4"/>
    </row>
    <row r="982" customFormat="false" ht="15.75" hidden="false" customHeight="false" outlineLevel="0" collapsed="false">
      <c r="A982" s="2"/>
      <c r="K982" s="2"/>
      <c r="L982" s="2"/>
      <c r="M982" s="2"/>
      <c r="N982" s="2"/>
      <c r="O982" s="12"/>
      <c r="P982" s="2"/>
      <c r="Q982" s="2"/>
      <c r="R982" s="2"/>
      <c r="T982" s="14"/>
      <c r="V982" s="15"/>
      <c r="W982" s="16"/>
      <c r="X982" s="14"/>
      <c r="AB982" s="4"/>
    </row>
    <row r="983" customFormat="false" ht="15.75" hidden="false" customHeight="false" outlineLevel="0" collapsed="false">
      <c r="A983" s="2"/>
      <c r="K983" s="2"/>
      <c r="L983" s="2"/>
      <c r="M983" s="2"/>
      <c r="N983" s="2"/>
      <c r="O983" s="12"/>
      <c r="P983" s="2"/>
      <c r="Q983" s="2"/>
      <c r="R983" s="2"/>
      <c r="T983" s="14"/>
      <c r="V983" s="15"/>
      <c r="W983" s="16"/>
      <c r="X983" s="14"/>
      <c r="AB983" s="4"/>
    </row>
    <row r="984" customFormat="false" ht="15.75" hidden="false" customHeight="false" outlineLevel="0" collapsed="false">
      <c r="A984" s="2"/>
      <c r="K984" s="2"/>
      <c r="L984" s="2"/>
      <c r="M984" s="2"/>
      <c r="N984" s="2"/>
      <c r="O984" s="12"/>
      <c r="P984" s="2"/>
      <c r="Q984" s="2"/>
      <c r="R984" s="2"/>
      <c r="T984" s="14"/>
      <c r="V984" s="15"/>
      <c r="W984" s="16"/>
      <c r="X984" s="14"/>
      <c r="AB984" s="4"/>
    </row>
    <row r="985" customFormat="false" ht="15.75" hidden="false" customHeight="false" outlineLevel="0" collapsed="false">
      <c r="A985" s="2"/>
      <c r="K985" s="2"/>
      <c r="L985" s="2"/>
      <c r="M985" s="2"/>
      <c r="N985" s="2"/>
      <c r="O985" s="12"/>
      <c r="P985" s="2"/>
      <c r="Q985" s="2"/>
      <c r="R985" s="2"/>
      <c r="T985" s="14"/>
      <c r="V985" s="15"/>
      <c r="W985" s="16"/>
      <c r="X985" s="14"/>
      <c r="AB985" s="4"/>
    </row>
    <row r="986" customFormat="false" ht="15.75" hidden="false" customHeight="false" outlineLevel="0" collapsed="false">
      <c r="A986" s="2"/>
      <c r="K986" s="2"/>
      <c r="L986" s="2"/>
      <c r="M986" s="2"/>
      <c r="N986" s="2"/>
      <c r="O986" s="12"/>
      <c r="P986" s="2"/>
      <c r="Q986" s="2"/>
      <c r="R986" s="2"/>
      <c r="T986" s="14"/>
      <c r="V986" s="15"/>
      <c r="W986" s="16"/>
      <c r="X986" s="14"/>
      <c r="AB986" s="4"/>
    </row>
    <row r="987" customFormat="false" ht="15.75" hidden="false" customHeight="false" outlineLevel="0" collapsed="false">
      <c r="A987" s="2"/>
      <c r="K987" s="2"/>
      <c r="L987" s="2"/>
      <c r="M987" s="2"/>
      <c r="N987" s="2"/>
      <c r="O987" s="12"/>
      <c r="P987" s="2"/>
      <c r="Q987" s="2"/>
      <c r="R987" s="2"/>
      <c r="T987" s="14"/>
      <c r="V987" s="15"/>
      <c r="W987" s="16"/>
      <c r="X987" s="14"/>
      <c r="AB987" s="4"/>
    </row>
    <row r="988" customFormat="false" ht="15.75" hidden="false" customHeight="false" outlineLevel="0" collapsed="false">
      <c r="A988" s="2"/>
      <c r="K988" s="2"/>
      <c r="L988" s="2"/>
      <c r="M988" s="2"/>
      <c r="N988" s="2"/>
      <c r="O988" s="12"/>
      <c r="P988" s="2"/>
      <c r="Q988" s="2"/>
      <c r="R988" s="2"/>
      <c r="T988" s="14"/>
      <c r="V988" s="15"/>
      <c r="W988" s="16"/>
      <c r="X988" s="14"/>
      <c r="AB988" s="4"/>
    </row>
    <row r="989" customFormat="false" ht="15.75" hidden="false" customHeight="false" outlineLevel="0" collapsed="false">
      <c r="A989" s="2"/>
      <c r="K989" s="2"/>
      <c r="L989" s="2"/>
      <c r="M989" s="2"/>
      <c r="N989" s="2"/>
      <c r="O989" s="12"/>
      <c r="P989" s="2"/>
      <c r="Q989" s="2"/>
      <c r="R989" s="2"/>
      <c r="T989" s="14"/>
      <c r="V989" s="15"/>
      <c r="W989" s="16"/>
      <c r="X989" s="14"/>
      <c r="AB989" s="4"/>
    </row>
    <row r="990" customFormat="false" ht="15.75" hidden="false" customHeight="false" outlineLevel="0" collapsed="false">
      <c r="A990" s="2"/>
      <c r="K990" s="2"/>
      <c r="L990" s="2"/>
      <c r="M990" s="2"/>
      <c r="N990" s="2"/>
      <c r="O990" s="12"/>
      <c r="P990" s="2"/>
      <c r="Q990" s="2"/>
      <c r="R990" s="2"/>
      <c r="T990" s="14"/>
      <c r="V990" s="15"/>
      <c r="W990" s="16"/>
      <c r="X990" s="14"/>
      <c r="AB990" s="4"/>
    </row>
    <row r="991" customFormat="false" ht="15.75" hidden="false" customHeight="false" outlineLevel="0" collapsed="false">
      <c r="A991" s="2"/>
      <c r="K991" s="2"/>
      <c r="L991" s="2"/>
      <c r="M991" s="2"/>
      <c r="N991" s="2"/>
      <c r="O991" s="12"/>
      <c r="P991" s="2"/>
      <c r="Q991" s="2"/>
      <c r="R991" s="2"/>
      <c r="T991" s="14"/>
      <c r="V991" s="15"/>
      <c r="W991" s="16"/>
      <c r="X991" s="14"/>
      <c r="AB991" s="4"/>
    </row>
    <row r="992" customFormat="false" ht="15.75" hidden="false" customHeight="false" outlineLevel="0" collapsed="false">
      <c r="A992" s="2"/>
      <c r="K992" s="2"/>
      <c r="L992" s="2"/>
      <c r="M992" s="2"/>
      <c r="N992" s="2"/>
      <c r="O992" s="12"/>
      <c r="P992" s="2"/>
      <c r="Q992" s="2"/>
      <c r="R992" s="2"/>
      <c r="T992" s="14"/>
      <c r="V992" s="15"/>
      <c r="W992" s="16"/>
      <c r="X992" s="14"/>
      <c r="AB992" s="4"/>
    </row>
    <row r="993" customFormat="false" ht="15.75" hidden="false" customHeight="false" outlineLevel="0" collapsed="false">
      <c r="A993" s="2"/>
      <c r="K993" s="2"/>
      <c r="L993" s="2"/>
      <c r="M993" s="2"/>
      <c r="N993" s="2"/>
      <c r="O993" s="12"/>
      <c r="P993" s="2"/>
      <c r="Q993" s="2"/>
      <c r="R993" s="2"/>
      <c r="T993" s="14"/>
      <c r="V993" s="15"/>
      <c r="W993" s="16"/>
      <c r="X993" s="14"/>
      <c r="AB993" s="4"/>
    </row>
  </sheetData>
  <autoFilter ref="N1:N993"/>
  <dataValidations count="2">
    <dataValidation allowBlank="true" errorStyle="stop" operator="between" showDropDown="false" showErrorMessage="true" showInputMessage="false" sqref="N2:N52" type="list">
      <formula1>"Painted,Found,Documented,Not Found,Unknown,Couldn't paint"</formula1>
      <formula2>0</formula2>
    </dataValidation>
    <dataValidation allowBlank="true" errorStyle="stop" operator="between" showDropDown="false" showErrorMessage="true" showInputMessage="false" sqref="B2:B52" type="list">
      <formula1>"Corner,Street Crossing,Witness"</formula1>
      <formula2>0</formula2>
    </dataValidation>
  </dataValidation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O30"/>
  <sheetViews>
    <sheetView showFormulas="false" showGridLines="true" showRowColHeaders="true" showZeros="true" rightToLeft="false" tabSelected="true" showOutlineSymbols="true" defaultGridColor="true" view="normal" topLeftCell="A18" colorId="64" zoomScale="100" zoomScaleNormal="100" zoomScalePageLayoutView="100" workbookViewId="0">
      <selection pane="topLeft" activeCell="B29" activeCellId="0" sqref="B29"/>
    </sheetView>
  </sheetViews>
  <sheetFormatPr defaultColWidth="12.6328125" defaultRowHeight="15.75" customHeight="true" zeroHeight="false" outlineLevelRow="0" outlineLevelCol="0"/>
  <cols>
    <col collapsed="false" customWidth="true" hidden="false" outlineLevel="0" max="2" min="2" style="1" width="12.75"/>
    <col collapsed="false" customWidth="true" hidden="false" outlineLevel="0" max="3" min="3" style="1" width="24.63"/>
    <col collapsed="false" customWidth="true" hidden="false" outlineLevel="0" max="4" min="4" style="1" width="13.88"/>
    <col collapsed="false" customWidth="true" hidden="false" outlineLevel="0" max="5" min="5" style="1" width="14.52"/>
  </cols>
  <sheetData>
    <row r="1" customFormat="false" ht="15.75" hidden="false" customHeight="false" outlineLevel="0" collapsed="false">
      <c r="B1" s="24"/>
      <c r="C1" s="24"/>
      <c r="D1" s="24"/>
      <c r="E1" s="24"/>
      <c r="F1" s="24"/>
      <c r="G1" s="8"/>
      <c r="H1" s="8"/>
      <c r="I1" s="8"/>
      <c r="J1" s="8"/>
      <c r="K1" s="8"/>
      <c r="L1" s="8"/>
    </row>
    <row r="2" customFormat="false" ht="15.75" hidden="false" customHeight="false" outlineLevel="0" collapsed="false">
      <c r="A2" s="24"/>
      <c r="B2" s="24"/>
      <c r="C2" s="24"/>
      <c r="D2" s="24"/>
      <c r="E2" s="24"/>
      <c r="F2" s="24"/>
      <c r="G2" s="8"/>
      <c r="H2" s="8"/>
      <c r="I2" s="8"/>
      <c r="J2" s="8"/>
      <c r="K2" s="8"/>
      <c r="L2" s="8"/>
    </row>
    <row r="3" customFormat="false" ht="22.5" hidden="false" customHeight="true" outlineLevel="0" collapsed="false">
      <c r="A3" s="24" t="s">
        <v>324</v>
      </c>
      <c r="B3" s="24" t="s">
        <v>325</v>
      </c>
      <c r="C3" s="24" t="s">
        <v>326</v>
      </c>
      <c r="D3" s="24" t="s">
        <v>327</v>
      </c>
      <c r="E3" s="25" t="s">
        <v>328</v>
      </c>
      <c r="F3" s="25" t="s">
        <v>329</v>
      </c>
      <c r="G3" s="25" t="s">
        <v>174</v>
      </c>
      <c r="H3" s="25" t="s">
        <v>238</v>
      </c>
      <c r="I3" s="25" t="s">
        <v>275</v>
      </c>
      <c r="J3" s="25" t="s">
        <v>330</v>
      </c>
      <c r="K3" s="25" t="s">
        <v>232</v>
      </c>
      <c r="L3" s="26" t="s">
        <v>142</v>
      </c>
      <c r="M3" s="26" t="s">
        <v>331</v>
      </c>
      <c r="N3" s="25" t="s">
        <v>332</v>
      </c>
      <c r="O3" s="25" t="s">
        <v>333</v>
      </c>
    </row>
    <row r="4" customFormat="false" ht="22.5" hidden="false" customHeight="true" outlineLevel="0" collapsed="false">
      <c r="A4" s="27" t="s">
        <v>334</v>
      </c>
      <c r="B4" s="27" t="s">
        <v>335</v>
      </c>
      <c r="C4" s="27" t="s">
        <v>336</v>
      </c>
      <c r="D4" s="28"/>
      <c r="E4" s="27" t="s">
        <v>337</v>
      </c>
      <c r="F4" s="29" t="s">
        <v>338</v>
      </c>
      <c r="G4" s="29" t="s">
        <v>338</v>
      </c>
      <c r="H4" s="29" t="s">
        <v>338</v>
      </c>
      <c r="I4" s="29" t="s">
        <v>338</v>
      </c>
      <c r="J4" s="29" t="s">
        <v>338</v>
      </c>
      <c r="K4" s="29" t="s">
        <v>338</v>
      </c>
      <c r="L4" s="29" t="s">
        <v>338</v>
      </c>
      <c r="M4" s="29" t="s">
        <v>337</v>
      </c>
      <c r="N4" s="29" t="s">
        <v>337</v>
      </c>
      <c r="O4" s="29" t="s">
        <v>337</v>
      </c>
    </row>
    <row r="5" customFormat="false" ht="22.5" hidden="false" customHeight="true" outlineLevel="0" collapsed="false">
      <c r="A5" s="30" t="s">
        <v>339</v>
      </c>
      <c r="B5" s="30" t="s">
        <v>340</v>
      </c>
      <c r="C5" s="30" t="s">
        <v>336</v>
      </c>
      <c r="D5" s="31"/>
      <c r="E5" s="30" t="s">
        <v>337</v>
      </c>
      <c r="F5" s="32" t="s">
        <v>338</v>
      </c>
      <c r="G5" s="32" t="s">
        <v>338</v>
      </c>
      <c r="H5" s="32" t="s">
        <v>338</v>
      </c>
      <c r="I5" s="32" t="s">
        <v>338</v>
      </c>
      <c r="J5" s="32" t="s">
        <v>338</v>
      </c>
      <c r="K5" s="32" t="s">
        <v>338</v>
      </c>
      <c r="L5" s="32" t="s">
        <v>338</v>
      </c>
      <c r="M5" s="29" t="s">
        <v>337</v>
      </c>
      <c r="N5" s="31"/>
      <c r="O5" s="33"/>
    </row>
    <row r="6" customFormat="false" ht="22.5" hidden="false" customHeight="true" outlineLevel="0" collapsed="false">
      <c r="A6" s="27" t="s">
        <v>341</v>
      </c>
      <c r="B6" s="27" t="s">
        <v>342</v>
      </c>
      <c r="C6" s="27" t="s">
        <v>343</v>
      </c>
      <c r="D6" s="28"/>
      <c r="E6" s="27" t="s">
        <v>344</v>
      </c>
      <c r="F6" s="34" t="s">
        <v>337</v>
      </c>
      <c r="G6" s="34" t="s">
        <v>345</v>
      </c>
      <c r="H6" s="34" t="s">
        <v>345</v>
      </c>
      <c r="I6" s="34" t="s">
        <v>345</v>
      </c>
      <c r="J6" s="34" t="s">
        <v>344</v>
      </c>
      <c r="K6" s="34" t="s">
        <v>346</v>
      </c>
      <c r="L6" s="34"/>
      <c r="M6" s="28"/>
      <c r="N6" s="28"/>
      <c r="O6" s="33"/>
    </row>
    <row r="7" customFormat="false" ht="22.5" hidden="false" customHeight="true" outlineLevel="0" collapsed="false">
      <c r="A7" s="30" t="s">
        <v>347</v>
      </c>
      <c r="B7" s="30" t="s">
        <v>348</v>
      </c>
      <c r="C7" s="30" t="s">
        <v>349</v>
      </c>
      <c r="D7" s="31"/>
      <c r="E7" s="30" t="s">
        <v>337</v>
      </c>
      <c r="F7" s="32" t="s">
        <v>346</v>
      </c>
      <c r="G7" s="32" t="s">
        <v>346</v>
      </c>
      <c r="H7" s="32" t="s">
        <v>346</v>
      </c>
      <c r="I7" s="32" t="s">
        <v>346</v>
      </c>
      <c r="J7" s="32" t="s">
        <v>346</v>
      </c>
      <c r="K7" s="32" t="s">
        <v>346</v>
      </c>
      <c r="L7" s="32"/>
      <c r="M7" s="31"/>
      <c r="N7" s="31"/>
      <c r="O7" s="33"/>
    </row>
    <row r="8" customFormat="false" ht="22.5" hidden="false" customHeight="true" outlineLevel="0" collapsed="false">
      <c r="A8" s="27" t="s">
        <v>350</v>
      </c>
      <c r="B8" s="27" t="s">
        <v>351</v>
      </c>
      <c r="C8" s="27" t="s">
        <v>352</v>
      </c>
      <c r="D8" s="28"/>
      <c r="E8" s="27" t="s">
        <v>337</v>
      </c>
      <c r="F8" s="34" t="s">
        <v>344</v>
      </c>
      <c r="G8" s="34" t="s">
        <v>346</v>
      </c>
      <c r="H8" s="34" t="s">
        <v>346</v>
      </c>
      <c r="I8" s="34" t="s">
        <v>346</v>
      </c>
      <c r="J8" s="34" t="s">
        <v>337</v>
      </c>
      <c r="K8" s="34" t="s">
        <v>344</v>
      </c>
      <c r="L8" s="34"/>
      <c r="M8" s="28"/>
      <c r="N8" s="28"/>
      <c r="O8" s="33"/>
    </row>
    <row r="9" customFormat="false" ht="22.5" hidden="false" customHeight="true" outlineLevel="0" collapsed="false">
      <c r="A9" s="30" t="s">
        <v>353</v>
      </c>
      <c r="B9" s="30" t="s">
        <v>354</v>
      </c>
      <c r="C9" s="30" t="s">
        <v>355</v>
      </c>
      <c r="D9" s="30" t="s">
        <v>2</v>
      </c>
      <c r="E9" s="30" t="s">
        <v>337</v>
      </c>
      <c r="F9" s="31"/>
      <c r="G9" s="31"/>
      <c r="H9" s="31"/>
      <c r="I9" s="31"/>
      <c r="J9" s="31"/>
      <c r="K9" s="32" t="s">
        <v>337</v>
      </c>
      <c r="L9" s="32"/>
      <c r="M9" s="31"/>
      <c r="N9" s="31"/>
      <c r="O9" s="33"/>
    </row>
    <row r="10" customFormat="false" ht="22.5" hidden="false" customHeight="true" outlineLevel="0" collapsed="false">
      <c r="A10" s="27" t="s">
        <v>356</v>
      </c>
      <c r="B10" s="27" t="s">
        <v>357</v>
      </c>
      <c r="C10" s="27" t="s">
        <v>358</v>
      </c>
      <c r="D10" s="27" t="s">
        <v>2</v>
      </c>
      <c r="E10" s="27" t="s">
        <v>337</v>
      </c>
      <c r="F10" s="28"/>
      <c r="G10" s="28"/>
      <c r="H10" s="28"/>
      <c r="I10" s="28"/>
      <c r="J10" s="28"/>
      <c r="K10" s="34" t="s">
        <v>346</v>
      </c>
      <c r="L10" s="34"/>
      <c r="M10" s="28"/>
      <c r="N10" s="28"/>
      <c r="O10" s="33"/>
    </row>
    <row r="11" customFormat="false" ht="22.5" hidden="false" customHeight="true" outlineLevel="0" collapsed="false">
      <c r="A11" s="30" t="s">
        <v>359</v>
      </c>
      <c r="B11" s="30" t="s">
        <v>360</v>
      </c>
      <c r="C11" s="30" t="s">
        <v>361</v>
      </c>
      <c r="D11" s="30" t="s">
        <v>2</v>
      </c>
      <c r="E11" s="30" t="s">
        <v>337</v>
      </c>
      <c r="F11" s="31"/>
      <c r="G11" s="31"/>
      <c r="H11" s="31"/>
      <c r="I11" s="31"/>
      <c r="J11" s="31"/>
      <c r="K11" s="32" t="s">
        <v>337</v>
      </c>
      <c r="L11" s="32"/>
      <c r="M11" s="31"/>
      <c r="N11" s="31"/>
      <c r="O11" s="33"/>
    </row>
    <row r="12" customFormat="false" ht="22.5" hidden="false" customHeight="true" outlineLevel="0" collapsed="false">
      <c r="A12" s="27" t="s">
        <v>362</v>
      </c>
      <c r="B12" s="27" t="s">
        <v>363</v>
      </c>
      <c r="C12" s="27" t="s">
        <v>349</v>
      </c>
      <c r="D12" s="28"/>
      <c r="E12" s="34" t="s">
        <v>344</v>
      </c>
      <c r="F12" s="34" t="s">
        <v>344</v>
      </c>
      <c r="G12" s="34" t="s">
        <v>364</v>
      </c>
      <c r="H12" s="34" t="s">
        <v>364</v>
      </c>
      <c r="I12" s="34" t="s">
        <v>364</v>
      </c>
      <c r="J12" s="34" t="s">
        <v>365</v>
      </c>
      <c r="K12" s="34" t="s">
        <v>344</v>
      </c>
      <c r="L12" s="34"/>
      <c r="M12" s="28"/>
      <c r="N12" s="28"/>
      <c r="O12" s="33"/>
    </row>
    <row r="13" customFormat="false" ht="22.5" hidden="false" customHeight="true" outlineLevel="0" collapsed="false">
      <c r="A13" s="32" t="s">
        <v>366</v>
      </c>
      <c r="B13" s="32" t="s">
        <v>367</v>
      </c>
      <c r="C13" s="31"/>
      <c r="D13" s="32" t="s">
        <v>368</v>
      </c>
      <c r="E13" s="31"/>
      <c r="F13" s="31"/>
      <c r="G13" s="32" t="s">
        <v>346</v>
      </c>
      <c r="H13" s="32" t="s">
        <v>346</v>
      </c>
      <c r="I13" s="32" t="s">
        <v>346</v>
      </c>
      <c r="J13" s="31"/>
      <c r="K13" s="31"/>
      <c r="L13" s="31"/>
      <c r="M13" s="31"/>
      <c r="N13" s="31"/>
      <c r="O13" s="33"/>
    </row>
    <row r="14" customFormat="false" ht="22.5" hidden="false" customHeight="true" outlineLevel="0" collapsed="false">
      <c r="A14" s="34" t="s">
        <v>369</v>
      </c>
      <c r="B14" s="34" t="s">
        <v>370</v>
      </c>
      <c r="C14" s="28"/>
      <c r="D14" s="34" t="s">
        <v>368</v>
      </c>
      <c r="E14" s="28"/>
      <c r="F14" s="28"/>
      <c r="G14" s="34" t="s">
        <v>344</v>
      </c>
      <c r="H14" s="34" t="s">
        <v>344</v>
      </c>
      <c r="I14" s="34" t="s">
        <v>344</v>
      </c>
      <c r="J14" s="28"/>
      <c r="K14" s="28"/>
      <c r="L14" s="28"/>
      <c r="M14" s="28"/>
      <c r="N14" s="28"/>
      <c r="O14" s="33"/>
    </row>
    <row r="15" customFormat="false" ht="22.5" hidden="false" customHeight="true" outlineLevel="0" collapsed="false">
      <c r="A15" s="32" t="s">
        <v>371</v>
      </c>
      <c r="B15" s="32" t="s">
        <v>372</v>
      </c>
      <c r="C15" s="31"/>
      <c r="D15" s="32" t="s">
        <v>368</v>
      </c>
      <c r="E15" s="31"/>
      <c r="F15" s="31"/>
      <c r="G15" s="32" t="s">
        <v>346</v>
      </c>
      <c r="H15" s="32" t="s">
        <v>346</v>
      </c>
      <c r="I15" s="32" t="s">
        <v>346</v>
      </c>
      <c r="J15" s="31"/>
      <c r="K15" s="31"/>
      <c r="L15" s="31"/>
      <c r="M15" s="31"/>
      <c r="N15" s="31"/>
      <c r="O15" s="33"/>
    </row>
    <row r="16" customFormat="false" ht="22.5" hidden="false" customHeight="true" outlineLevel="0" collapsed="false">
      <c r="A16" s="34" t="s">
        <v>373</v>
      </c>
      <c r="B16" s="34" t="s">
        <v>374</v>
      </c>
      <c r="C16" s="28"/>
      <c r="D16" s="34" t="s">
        <v>7</v>
      </c>
      <c r="E16" s="28"/>
      <c r="F16" s="28"/>
      <c r="G16" s="34" t="s">
        <v>344</v>
      </c>
      <c r="H16" s="34" t="s">
        <v>344</v>
      </c>
      <c r="I16" s="34" t="s">
        <v>344</v>
      </c>
      <c r="J16" s="28"/>
      <c r="K16" s="28"/>
      <c r="L16" s="28"/>
      <c r="M16" s="28"/>
      <c r="N16" s="28"/>
      <c r="O16" s="33"/>
    </row>
    <row r="17" customFormat="false" ht="22.5" hidden="false" customHeight="true" outlineLevel="0" collapsed="false">
      <c r="A17" s="32" t="s">
        <v>375</v>
      </c>
      <c r="B17" s="32" t="s">
        <v>376</v>
      </c>
      <c r="C17" s="31" t="s">
        <v>377</v>
      </c>
      <c r="D17" s="32" t="s">
        <v>6</v>
      </c>
      <c r="E17" s="31"/>
      <c r="F17" s="31"/>
      <c r="G17" s="32" t="s">
        <v>337</v>
      </c>
      <c r="H17" s="31"/>
      <c r="I17" s="32" t="s">
        <v>345</v>
      </c>
      <c r="J17" s="31"/>
      <c r="K17" s="31"/>
      <c r="L17" s="31"/>
      <c r="M17" s="31"/>
      <c r="N17" s="31"/>
      <c r="O17" s="33"/>
    </row>
    <row r="18" customFormat="false" ht="22.5" hidden="false" customHeight="true" outlineLevel="0" collapsed="false">
      <c r="A18" s="34" t="s">
        <v>378</v>
      </c>
      <c r="B18" s="34" t="s">
        <v>379</v>
      </c>
      <c r="C18" s="28" t="s">
        <v>380</v>
      </c>
      <c r="D18" s="34" t="s">
        <v>6</v>
      </c>
      <c r="E18" s="28"/>
      <c r="F18" s="28"/>
      <c r="G18" s="34" t="s">
        <v>337</v>
      </c>
      <c r="H18" s="28"/>
      <c r="I18" s="34" t="s">
        <v>345</v>
      </c>
      <c r="J18" s="28"/>
      <c r="K18" s="28"/>
      <c r="L18" s="28"/>
      <c r="M18" s="28"/>
      <c r="N18" s="28"/>
      <c r="O18" s="33"/>
    </row>
    <row r="19" customFormat="false" ht="22.5" hidden="false" customHeight="true" outlineLevel="0" collapsed="false">
      <c r="A19" s="32" t="s">
        <v>381</v>
      </c>
      <c r="B19" s="32" t="s">
        <v>382</v>
      </c>
      <c r="C19" s="31"/>
      <c r="D19" s="32" t="s">
        <v>8</v>
      </c>
      <c r="E19" s="31"/>
      <c r="F19" s="31"/>
      <c r="G19" s="32" t="s">
        <v>344</v>
      </c>
      <c r="H19" s="32" t="s">
        <v>344</v>
      </c>
      <c r="I19" s="32" t="s">
        <v>344</v>
      </c>
      <c r="J19" s="32" t="s">
        <v>346</v>
      </c>
      <c r="K19" s="31"/>
      <c r="L19" s="31"/>
      <c r="M19" s="31"/>
      <c r="N19" s="31"/>
      <c r="O19" s="33"/>
    </row>
    <row r="20" customFormat="false" ht="22.5" hidden="false" customHeight="true" outlineLevel="0" collapsed="false">
      <c r="A20" s="34" t="s">
        <v>383</v>
      </c>
      <c r="B20" s="34" t="s">
        <v>384</v>
      </c>
      <c r="C20" s="28"/>
      <c r="D20" s="34" t="s">
        <v>8</v>
      </c>
      <c r="E20" s="28"/>
      <c r="F20" s="28"/>
      <c r="G20" s="34" t="s">
        <v>344</v>
      </c>
      <c r="H20" s="34" t="s">
        <v>344</v>
      </c>
      <c r="I20" s="34" t="s">
        <v>344</v>
      </c>
      <c r="J20" s="34" t="s">
        <v>346</v>
      </c>
      <c r="K20" s="28"/>
      <c r="L20" s="28"/>
      <c r="M20" s="28"/>
      <c r="N20" s="28"/>
      <c r="O20" s="33"/>
    </row>
    <row r="21" customFormat="false" ht="22.5" hidden="false" customHeight="true" outlineLevel="0" collapsed="false">
      <c r="A21" s="32" t="s">
        <v>385</v>
      </c>
      <c r="B21" s="32" t="s">
        <v>386</v>
      </c>
      <c r="C21" s="31"/>
      <c r="D21" s="32" t="s">
        <v>8</v>
      </c>
      <c r="E21" s="31"/>
      <c r="F21" s="31"/>
      <c r="G21" s="32" t="s">
        <v>346</v>
      </c>
      <c r="H21" s="32" t="s">
        <v>346</v>
      </c>
      <c r="I21" s="32" t="s">
        <v>346</v>
      </c>
      <c r="J21" s="32" t="s">
        <v>346</v>
      </c>
      <c r="K21" s="31"/>
      <c r="L21" s="31"/>
      <c r="M21" s="31"/>
      <c r="N21" s="31"/>
      <c r="O21" s="33"/>
    </row>
    <row r="22" customFormat="false" ht="22.5" hidden="false" customHeight="true" outlineLevel="0" collapsed="false">
      <c r="A22" s="34" t="s">
        <v>387</v>
      </c>
      <c r="B22" s="34" t="s">
        <v>388</v>
      </c>
      <c r="C22" s="28"/>
      <c r="D22" s="34" t="s">
        <v>8</v>
      </c>
      <c r="E22" s="28"/>
      <c r="F22" s="28"/>
      <c r="G22" s="34" t="s">
        <v>344</v>
      </c>
      <c r="H22" s="34" t="s">
        <v>344</v>
      </c>
      <c r="I22" s="34" t="s">
        <v>344</v>
      </c>
      <c r="J22" s="34" t="s">
        <v>346</v>
      </c>
      <c r="K22" s="28"/>
      <c r="L22" s="28"/>
      <c r="M22" s="28"/>
      <c r="N22" s="28"/>
      <c r="O22" s="33"/>
    </row>
    <row r="23" customFormat="false" ht="22.5" hidden="false" customHeight="true" outlineLevel="0" collapsed="false">
      <c r="A23" s="32" t="s">
        <v>389</v>
      </c>
      <c r="B23" s="32" t="s">
        <v>390</v>
      </c>
      <c r="C23" s="31"/>
      <c r="D23" s="32" t="s">
        <v>8</v>
      </c>
      <c r="E23" s="31"/>
      <c r="F23" s="31"/>
      <c r="G23" s="32" t="s">
        <v>337</v>
      </c>
      <c r="H23" s="32" t="s">
        <v>337</v>
      </c>
      <c r="I23" s="32" t="s">
        <v>337</v>
      </c>
      <c r="J23" s="32" t="s">
        <v>346</v>
      </c>
      <c r="K23" s="31"/>
      <c r="L23" s="31"/>
      <c r="M23" s="31"/>
      <c r="N23" s="31"/>
      <c r="O23" s="33"/>
    </row>
    <row r="24" customFormat="false" ht="22.5" hidden="false" customHeight="true" outlineLevel="0" collapsed="false">
      <c r="A24" s="34" t="s">
        <v>391</v>
      </c>
      <c r="B24" s="28"/>
      <c r="C24" s="28"/>
      <c r="D24" s="34" t="s">
        <v>1</v>
      </c>
      <c r="E24" s="28"/>
      <c r="F24" s="28"/>
      <c r="G24" s="28"/>
      <c r="H24" s="28"/>
      <c r="I24" s="28"/>
      <c r="J24" s="34" t="s">
        <v>346</v>
      </c>
      <c r="K24" s="28"/>
      <c r="L24" s="28"/>
      <c r="M24" s="28"/>
      <c r="N24" s="28"/>
      <c r="O24" s="33"/>
    </row>
    <row r="25" customFormat="false" ht="22.5" hidden="false" customHeight="true" outlineLevel="0" collapsed="false">
      <c r="A25" s="32" t="s">
        <v>391</v>
      </c>
      <c r="B25" s="31"/>
      <c r="C25" s="31"/>
      <c r="D25" s="32" t="s">
        <v>5</v>
      </c>
      <c r="E25" s="31"/>
      <c r="F25" s="31"/>
      <c r="G25" s="31"/>
      <c r="H25" s="31"/>
      <c r="I25" s="31"/>
      <c r="J25" s="32" t="s">
        <v>344</v>
      </c>
      <c r="K25" s="31"/>
      <c r="L25" s="31"/>
      <c r="M25" s="31"/>
      <c r="N25" s="31"/>
      <c r="O25" s="33"/>
    </row>
    <row r="26" customFormat="false" ht="22.5" hidden="false" customHeight="true" outlineLevel="0" collapsed="false">
      <c r="A26" s="34" t="s">
        <v>392</v>
      </c>
      <c r="B26" s="34" t="s">
        <v>393</v>
      </c>
      <c r="C26" s="28"/>
      <c r="D26" s="34" t="s">
        <v>1</v>
      </c>
      <c r="E26" s="28"/>
      <c r="F26" s="28"/>
      <c r="G26" s="28"/>
      <c r="H26" s="28"/>
      <c r="I26" s="28"/>
      <c r="J26" s="34" t="s">
        <v>337</v>
      </c>
      <c r="K26" s="28"/>
      <c r="L26" s="28"/>
      <c r="M26" s="28"/>
      <c r="N26" s="28"/>
      <c r="O26" s="33"/>
    </row>
    <row r="27" customFormat="false" ht="22.5" hidden="false" customHeight="true" outlineLevel="0" collapsed="false">
      <c r="A27" s="32" t="s">
        <v>394</v>
      </c>
      <c r="B27" s="32" t="s">
        <v>395</v>
      </c>
      <c r="C27" s="31"/>
      <c r="D27" s="32" t="s">
        <v>3</v>
      </c>
      <c r="E27" s="31"/>
      <c r="F27" s="31"/>
      <c r="G27" s="31"/>
      <c r="H27" s="31"/>
      <c r="I27" s="31"/>
      <c r="J27" s="31"/>
      <c r="K27" s="32" t="s">
        <v>346</v>
      </c>
      <c r="L27" s="32"/>
      <c r="M27" s="31"/>
      <c r="N27" s="31"/>
      <c r="O27" s="33"/>
    </row>
    <row r="28" customFormat="false" ht="22.5" hidden="false" customHeight="true" outlineLevel="0" collapsed="false">
      <c r="A28" s="34" t="s">
        <v>396</v>
      </c>
      <c r="B28" s="34" t="s">
        <v>397</v>
      </c>
      <c r="C28" s="28"/>
      <c r="D28" s="35" t="s">
        <v>3</v>
      </c>
      <c r="E28" s="28"/>
      <c r="F28" s="28"/>
      <c r="G28" s="28"/>
      <c r="H28" s="28"/>
      <c r="I28" s="28"/>
      <c r="J28" s="28"/>
      <c r="K28" s="34" t="s">
        <v>346</v>
      </c>
      <c r="L28" s="34"/>
      <c r="M28" s="28"/>
      <c r="N28" s="28"/>
      <c r="O28" s="33"/>
    </row>
    <row r="29" customFormat="false" ht="22.5" hidden="false" customHeight="true" outlineLevel="0" collapsed="false">
      <c r="A29" s="34" t="s">
        <v>398</v>
      </c>
      <c r="B29" s="34" t="s">
        <v>399</v>
      </c>
      <c r="C29" s="36" t="s">
        <v>380</v>
      </c>
      <c r="D29" s="35" t="s">
        <v>3</v>
      </c>
      <c r="E29" s="28"/>
      <c r="F29" s="28"/>
      <c r="G29" s="28"/>
      <c r="H29" s="28"/>
      <c r="I29" s="28"/>
      <c r="J29" s="28"/>
      <c r="K29" s="34" t="s">
        <v>337</v>
      </c>
      <c r="L29" s="34"/>
      <c r="M29" s="28"/>
      <c r="N29" s="28"/>
      <c r="O29" s="33"/>
    </row>
    <row r="30" customFormat="false" ht="22.5" hidden="false" customHeight="true" outlineLevel="0" collapsed="false">
      <c r="A30" s="32" t="s">
        <v>400</v>
      </c>
      <c r="B30" s="32" t="s">
        <v>401</v>
      </c>
      <c r="C30" s="37" t="s">
        <v>402</v>
      </c>
      <c r="D30" s="37" t="s">
        <v>8</v>
      </c>
      <c r="E30" s="31"/>
      <c r="F30" s="31"/>
      <c r="G30" s="31"/>
      <c r="H30" s="31"/>
      <c r="I30" s="37" t="s">
        <v>337</v>
      </c>
      <c r="J30" s="31"/>
      <c r="K30" s="32" t="s">
        <v>346</v>
      </c>
      <c r="L30" s="32"/>
      <c r="M30" s="31"/>
      <c r="N30" s="31"/>
      <c r="O30" s="3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5.75"/>
    <col collapsed="false" customWidth="true" hidden="false" outlineLevel="0" max="2" min="2" style="1" width="25.25"/>
    <col collapsed="false" customWidth="true" hidden="false" outlineLevel="0" max="3" min="3" style="1" width="28.25"/>
  </cols>
  <sheetData>
    <row r="1" customFormat="false" ht="15.75" hidden="false" customHeight="false" outlineLevel="0" collapsed="false">
      <c r="A1" s="4" t="s">
        <v>17</v>
      </c>
      <c r="B1" s="18" t="s">
        <v>28</v>
      </c>
      <c r="C1" s="18" t="s">
        <v>32</v>
      </c>
    </row>
    <row r="2" customFormat="false" ht="15.75" hidden="false" customHeight="false" outlineLevel="0" collapsed="false">
      <c r="A2" s="4" t="s">
        <v>403</v>
      </c>
      <c r="B2" s="18" t="n">
        <v>42.5001860150001</v>
      </c>
      <c r="C2" s="18" t="n">
        <v>-71.473529496</v>
      </c>
    </row>
    <row r="3" customFormat="false" ht="15.75" hidden="false" customHeight="false" outlineLevel="0" collapsed="false">
      <c r="A3" s="4" t="s">
        <v>404</v>
      </c>
      <c r="B3" s="18" t="n">
        <v>42.4637837510001</v>
      </c>
      <c r="C3" s="18" t="n">
        <v>-71.498547705</v>
      </c>
    </row>
    <row r="4" customFormat="false" ht="15.75" hidden="false" customHeight="false" outlineLevel="0" collapsed="false">
      <c r="A4" s="4" t="s">
        <v>405</v>
      </c>
      <c r="B4" s="18" t="n">
        <v>42.5068287080001</v>
      </c>
      <c r="C4" s="18" t="n">
        <v>-71.391564186</v>
      </c>
    </row>
    <row r="5" customFormat="false" ht="15.75" hidden="false" customHeight="false" outlineLevel="0" collapsed="false">
      <c r="A5" s="4" t="s">
        <v>406</v>
      </c>
      <c r="B5" s="18" t="n">
        <v>42.526344807</v>
      </c>
      <c r="C5" s="18" t="n">
        <v>-71.397947145</v>
      </c>
    </row>
    <row r="6" customFormat="false" ht="15.75" hidden="false" customHeight="false" outlineLevel="0" collapsed="false">
      <c r="A6" s="4" t="s">
        <v>407</v>
      </c>
      <c r="B6" s="18" t="n">
        <v>42.504473137</v>
      </c>
      <c r="C6" s="18" t="n">
        <v>-71.38494746</v>
      </c>
    </row>
    <row r="7" customFormat="false" ht="15.75" hidden="false" customHeight="false" outlineLevel="0" collapsed="false">
      <c r="A7" s="4" t="s">
        <v>408</v>
      </c>
      <c r="B7" s="18" t="n">
        <v>42.534025086</v>
      </c>
      <c r="C7" s="18" t="n">
        <v>-71.399515336</v>
      </c>
    </row>
    <row r="8" customFormat="false" ht="15.75" hidden="false" customHeight="false" outlineLevel="0" collapsed="false">
      <c r="A8" s="4" t="s">
        <v>409</v>
      </c>
      <c r="B8" s="18" t="n">
        <v>42.436947994</v>
      </c>
      <c r="C8" s="18" t="n">
        <v>-71.430394779</v>
      </c>
    </row>
    <row r="9" customFormat="false" ht="15.75" hidden="false" customHeight="false" outlineLevel="0" collapsed="false">
      <c r="A9" s="4" t="s">
        <v>410</v>
      </c>
      <c r="B9" s="18" t="n">
        <v>42.5221791480001</v>
      </c>
      <c r="C9" s="18" t="n">
        <v>-71.435017906</v>
      </c>
    </row>
    <row r="10" customFormat="false" ht="15.75" hidden="false" customHeight="false" outlineLevel="0" collapsed="false">
      <c r="A10" s="4" t="s">
        <v>411</v>
      </c>
      <c r="B10" s="18" t="n">
        <v>42.509068563</v>
      </c>
      <c r="C10" s="18" t="n">
        <v>-71.443940303</v>
      </c>
    </row>
    <row r="11" customFormat="false" ht="15.75" hidden="false" customHeight="false" outlineLevel="0" collapsed="false">
      <c r="A11" s="4" t="s">
        <v>412</v>
      </c>
      <c r="B11" s="18" t="n">
        <v>42.528812154</v>
      </c>
      <c r="C11" s="18" t="n">
        <v>-71.428534514</v>
      </c>
    </row>
    <row r="12" customFormat="false" ht="15.75" hidden="false" customHeight="false" outlineLevel="0" collapsed="false">
      <c r="A12" s="4" t="s">
        <v>413</v>
      </c>
      <c r="B12" s="18" t="n">
        <v>42.4503286410001</v>
      </c>
      <c r="C12" s="18" t="n">
        <v>-71.4643289959999</v>
      </c>
    </row>
    <row r="13" customFormat="false" ht="15.75" hidden="false" customHeight="false" outlineLevel="0" collapsed="false">
      <c r="A13" s="4" t="s">
        <v>414</v>
      </c>
      <c r="B13" s="18" t="n">
        <v>42.5261982760001</v>
      </c>
      <c r="C13" s="18" t="n">
        <v>-71.42379555</v>
      </c>
    </row>
    <row r="14" customFormat="false" ht="15.75" hidden="false" customHeight="false" outlineLevel="0" collapsed="false">
      <c r="B14" s="18"/>
      <c r="C14" s="18"/>
    </row>
    <row r="15" customFormat="false" ht="15.75" hidden="false" customHeight="false" outlineLevel="0" collapsed="false">
      <c r="B15" s="18"/>
      <c r="C15" s="18"/>
    </row>
    <row r="16" customFormat="false" ht="15.75" hidden="false" customHeight="false" outlineLevel="0" collapsed="false">
      <c r="B16" s="18"/>
      <c r="C16" s="18"/>
    </row>
    <row r="17" customFormat="false" ht="15.75" hidden="false" customHeight="false" outlineLevel="0" collapsed="false">
      <c r="B17" s="18"/>
      <c r="C17" s="18"/>
    </row>
    <row r="18" customFormat="false" ht="15.75" hidden="false" customHeight="false" outlineLevel="0" collapsed="false">
      <c r="B18" s="18"/>
      <c r="C18" s="18"/>
    </row>
    <row r="19" customFormat="false" ht="15.75" hidden="false" customHeight="false" outlineLevel="0" collapsed="false">
      <c r="B19" s="18"/>
      <c r="C19" s="18"/>
    </row>
    <row r="20" customFormat="false" ht="15.75" hidden="false" customHeight="false" outlineLevel="0" collapsed="false">
      <c r="B20" s="18"/>
      <c r="C20" s="18"/>
    </row>
    <row r="21" customFormat="false" ht="15.75" hidden="false" customHeight="false" outlineLevel="0" collapsed="false">
      <c r="B21" s="18"/>
      <c r="C21" s="18"/>
    </row>
    <row r="22" customFormat="false" ht="15.75" hidden="false" customHeight="false" outlineLevel="0" collapsed="false">
      <c r="B22" s="18"/>
      <c r="C22" s="18"/>
    </row>
    <row r="23" customFormat="false" ht="15.75" hidden="false" customHeight="false" outlineLevel="0" collapsed="false">
      <c r="B23" s="18"/>
      <c r="C23" s="18"/>
    </row>
    <row r="24" customFormat="false" ht="15.75" hidden="false" customHeight="false" outlineLevel="0" collapsed="false">
      <c r="B24" s="18"/>
      <c r="C24" s="18"/>
    </row>
    <row r="25" customFormat="false" ht="15.75" hidden="false" customHeight="false" outlineLevel="0" collapsed="false">
      <c r="B25" s="18"/>
      <c r="C25" s="18"/>
    </row>
    <row r="26" customFormat="false" ht="15.75" hidden="false" customHeight="false" outlineLevel="0" collapsed="false">
      <c r="B26" s="18"/>
      <c r="C26" s="18"/>
    </row>
    <row r="27" customFormat="false" ht="15.75" hidden="false" customHeight="false" outlineLevel="0" collapsed="false">
      <c r="B27" s="18"/>
      <c r="C27" s="18"/>
    </row>
    <row r="28" customFormat="false" ht="15.75" hidden="false" customHeight="false" outlineLevel="0" collapsed="false">
      <c r="B28" s="18"/>
      <c r="C28" s="18"/>
    </row>
    <row r="29" customFormat="false" ht="15.75" hidden="false" customHeight="false" outlineLevel="0" collapsed="false">
      <c r="B29" s="18"/>
      <c r="C29" s="18"/>
    </row>
    <row r="30" customFormat="false" ht="15.75" hidden="false" customHeight="false" outlineLevel="0" collapsed="false">
      <c r="B30" s="18"/>
      <c r="C30" s="18"/>
    </row>
    <row r="31" customFormat="false" ht="15.75" hidden="false" customHeight="false" outlineLevel="0" collapsed="false">
      <c r="B31" s="18"/>
      <c r="C31" s="18"/>
    </row>
    <row r="32" customFormat="false" ht="15.75" hidden="false" customHeight="false" outlineLevel="0" collapsed="false">
      <c r="B32" s="18"/>
      <c r="C32" s="18"/>
    </row>
    <row r="33" customFormat="false" ht="15.75" hidden="false" customHeight="false" outlineLevel="0" collapsed="false">
      <c r="B33" s="18"/>
      <c r="C33" s="18"/>
    </row>
    <row r="34" customFormat="false" ht="15.75" hidden="false" customHeight="false" outlineLevel="0" collapsed="false">
      <c r="B34" s="18"/>
      <c r="C34" s="18"/>
    </row>
    <row r="35" customFormat="false" ht="15.75" hidden="false" customHeight="false" outlineLevel="0" collapsed="false">
      <c r="B35" s="18"/>
      <c r="C35" s="18"/>
    </row>
    <row r="36" customFormat="false" ht="15.75" hidden="false" customHeight="false" outlineLevel="0" collapsed="false">
      <c r="B36" s="18"/>
      <c r="C36" s="18"/>
    </row>
    <row r="37" customFormat="false" ht="15.75" hidden="false" customHeight="false" outlineLevel="0" collapsed="false">
      <c r="B37" s="18"/>
      <c r="C37" s="18"/>
    </row>
    <row r="38" customFormat="false" ht="15.75" hidden="false" customHeight="false" outlineLevel="0" collapsed="false">
      <c r="B38" s="18"/>
      <c r="C38" s="18"/>
    </row>
    <row r="39" customFormat="false" ht="15.75" hidden="false" customHeight="false" outlineLevel="0" collapsed="false">
      <c r="B39" s="18"/>
      <c r="C39" s="18"/>
    </row>
    <row r="40" customFormat="false" ht="15.75" hidden="false" customHeight="false" outlineLevel="0" collapsed="false">
      <c r="B40" s="18"/>
      <c r="C40" s="18"/>
    </row>
    <row r="41" customFormat="false" ht="15.75" hidden="false" customHeight="false" outlineLevel="0" collapsed="false">
      <c r="B41" s="18"/>
      <c r="C41" s="18"/>
    </row>
    <row r="42" customFormat="false" ht="15.75" hidden="false" customHeight="false" outlineLevel="0" collapsed="false">
      <c r="B42" s="18"/>
      <c r="C42" s="18"/>
    </row>
    <row r="43" customFormat="false" ht="15.75" hidden="false" customHeight="false" outlineLevel="0" collapsed="false">
      <c r="B43" s="18"/>
      <c r="C43" s="18"/>
    </row>
    <row r="44" customFormat="false" ht="15.75" hidden="false" customHeight="false" outlineLevel="0" collapsed="false">
      <c r="B44" s="18"/>
      <c r="C44" s="18"/>
    </row>
    <row r="45" customFormat="false" ht="15.75" hidden="false" customHeight="false" outlineLevel="0" collapsed="false">
      <c r="B45" s="18"/>
      <c r="C45" s="18"/>
    </row>
    <row r="46" customFormat="false" ht="15.75" hidden="false" customHeight="false" outlineLevel="0" collapsed="false">
      <c r="B46" s="18"/>
      <c r="C46" s="18"/>
    </row>
    <row r="47" customFormat="false" ht="15.75" hidden="false" customHeight="false" outlineLevel="0" collapsed="false">
      <c r="B47" s="18"/>
      <c r="C47" s="18"/>
    </row>
    <row r="48" customFormat="false" ht="15.75" hidden="false" customHeight="false" outlineLevel="0" collapsed="false">
      <c r="B48" s="18"/>
      <c r="C48" s="18"/>
    </row>
    <row r="49" customFormat="false" ht="15.75" hidden="false" customHeight="false" outlineLevel="0" collapsed="false">
      <c r="B49" s="18"/>
      <c r="C49" s="18"/>
    </row>
    <row r="50" customFormat="false" ht="15.75" hidden="false" customHeight="false" outlineLevel="0" collapsed="false">
      <c r="B50" s="18"/>
      <c r="C50" s="18"/>
    </row>
    <row r="51" customFormat="false" ht="15.75" hidden="false" customHeight="false" outlineLevel="0" collapsed="false">
      <c r="B51" s="18"/>
      <c r="C51" s="18"/>
    </row>
    <row r="52" customFormat="false" ht="15.75" hidden="false" customHeight="false" outlineLevel="0" collapsed="false">
      <c r="B52" s="18"/>
      <c r="C52" s="18"/>
    </row>
    <row r="53" customFormat="false" ht="15.75" hidden="false" customHeight="false" outlineLevel="0" collapsed="false">
      <c r="B53" s="18"/>
      <c r="C53" s="18"/>
    </row>
    <row r="54" customFormat="false" ht="15.75" hidden="false" customHeight="false" outlineLevel="0" collapsed="false">
      <c r="B54" s="18"/>
      <c r="C54" s="18"/>
    </row>
    <row r="55" customFormat="false" ht="15.75" hidden="false" customHeight="false" outlineLevel="0" collapsed="false">
      <c r="B55" s="18"/>
      <c r="C55" s="18"/>
    </row>
    <row r="56" customFormat="false" ht="15.75" hidden="false" customHeight="false" outlineLevel="0" collapsed="false">
      <c r="B56" s="18"/>
      <c r="C56" s="18"/>
    </row>
    <row r="57" customFormat="false" ht="15.75" hidden="false" customHeight="false" outlineLevel="0" collapsed="false">
      <c r="B57" s="18"/>
      <c r="C57" s="18"/>
    </row>
    <row r="58" customFormat="false" ht="15.75" hidden="false" customHeight="false" outlineLevel="0" collapsed="false">
      <c r="B58" s="18"/>
      <c r="C58" s="18"/>
    </row>
    <row r="59" customFormat="false" ht="15.75" hidden="false" customHeight="false" outlineLevel="0" collapsed="false">
      <c r="B59" s="18"/>
      <c r="C59" s="18"/>
    </row>
    <row r="60" customFormat="false" ht="15.75" hidden="false" customHeight="false" outlineLevel="0" collapsed="false">
      <c r="B60" s="18"/>
      <c r="C60" s="18"/>
    </row>
    <row r="61" customFormat="false" ht="15.75" hidden="false" customHeight="false" outlineLevel="0" collapsed="false">
      <c r="B61" s="18"/>
      <c r="C61" s="18"/>
    </row>
    <row r="62" customFormat="false" ht="15.75" hidden="false" customHeight="false" outlineLevel="0" collapsed="false">
      <c r="B62" s="18"/>
      <c r="C62" s="18"/>
    </row>
    <row r="63" customFormat="false" ht="15.75" hidden="false" customHeight="false" outlineLevel="0" collapsed="false">
      <c r="B63" s="18"/>
      <c r="C63" s="18"/>
    </row>
    <row r="64" customFormat="false" ht="15.75" hidden="false" customHeight="false" outlineLevel="0" collapsed="false">
      <c r="B64" s="18"/>
      <c r="C64" s="18"/>
    </row>
    <row r="65" customFormat="false" ht="15.75" hidden="false" customHeight="false" outlineLevel="0" collapsed="false">
      <c r="B65" s="18"/>
      <c r="C65" s="18"/>
    </row>
    <row r="66" customFormat="false" ht="15.75" hidden="false" customHeight="false" outlineLevel="0" collapsed="false">
      <c r="B66" s="18"/>
      <c r="C66" s="18"/>
    </row>
    <row r="67" customFormat="false" ht="15.75" hidden="false" customHeight="false" outlineLevel="0" collapsed="false">
      <c r="B67" s="18"/>
      <c r="C67" s="18"/>
    </row>
    <row r="68" customFormat="false" ht="15.75" hidden="false" customHeight="false" outlineLevel="0" collapsed="false">
      <c r="B68" s="18"/>
      <c r="C68" s="18"/>
    </row>
    <row r="69" customFormat="false" ht="15.75" hidden="false" customHeight="false" outlineLevel="0" collapsed="false">
      <c r="B69" s="18"/>
      <c r="C69" s="18"/>
    </row>
    <row r="70" customFormat="false" ht="15.75" hidden="false" customHeight="false" outlineLevel="0" collapsed="false">
      <c r="B70" s="18"/>
      <c r="C70" s="18"/>
    </row>
    <row r="71" customFormat="false" ht="15.75" hidden="false" customHeight="false" outlineLevel="0" collapsed="false">
      <c r="B71" s="18"/>
      <c r="C71" s="18"/>
    </row>
    <row r="72" customFormat="false" ht="15.75" hidden="false" customHeight="false" outlineLevel="0" collapsed="false">
      <c r="B72" s="18"/>
      <c r="C72" s="18"/>
    </row>
    <row r="73" customFormat="false" ht="15.75" hidden="false" customHeight="false" outlineLevel="0" collapsed="false">
      <c r="B73" s="18"/>
      <c r="C73" s="18"/>
    </row>
    <row r="74" customFormat="false" ht="15.75" hidden="false" customHeight="false" outlineLevel="0" collapsed="false">
      <c r="B74" s="18"/>
      <c r="C74" s="18"/>
    </row>
    <row r="75" customFormat="false" ht="15.75" hidden="false" customHeight="false" outlineLevel="0" collapsed="false">
      <c r="B75" s="18"/>
      <c r="C75" s="18"/>
    </row>
    <row r="76" customFormat="false" ht="15.75" hidden="false" customHeight="false" outlineLevel="0" collapsed="false">
      <c r="B76" s="18"/>
      <c r="C76" s="18"/>
    </row>
    <row r="77" customFormat="false" ht="15.75" hidden="false" customHeight="false" outlineLevel="0" collapsed="false">
      <c r="B77" s="18"/>
      <c r="C77" s="18"/>
    </row>
    <row r="78" customFormat="false" ht="15.75" hidden="false" customHeight="false" outlineLevel="0" collapsed="false">
      <c r="B78" s="18"/>
      <c r="C78" s="18"/>
    </row>
    <row r="79" customFormat="false" ht="15.75" hidden="false" customHeight="false" outlineLevel="0" collapsed="false">
      <c r="B79" s="18"/>
      <c r="C79" s="18"/>
    </row>
    <row r="80" customFormat="false" ht="15.75" hidden="false" customHeight="false" outlineLevel="0" collapsed="false">
      <c r="B80" s="18"/>
      <c r="C80" s="18"/>
    </row>
    <row r="81" customFormat="false" ht="15.75" hidden="false" customHeight="false" outlineLevel="0" collapsed="false">
      <c r="B81" s="18"/>
      <c r="C81" s="18"/>
    </row>
    <row r="82" customFormat="false" ht="15.75" hidden="false" customHeight="false" outlineLevel="0" collapsed="false">
      <c r="B82" s="18"/>
      <c r="C82" s="18"/>
    </row>
    <row r="83" customFormat="false" ht="15.75" hidden="false" customHeight="false" outlineLevel="0" collapsed="false">
      <c r="B83" s="18"/>
      <c r="C83" s="18"/>
    </row>
    <row r="84" customFormat="false" ht="15.75" hidden="false" customHeight="false" outlineLevel="0" collapsed="false">
      <c r="B84" s="18"/>
      <c r="C84" s="18"/>
    </row>
    <row r="85" customFormat="false" ht="15.75" hidden="false" customHeight="false" outlineLevel="0" collapsed="false">
      <c r="B85" s="18"/>
      <c r="C85" s="18"/>
    </row>
    <row r="86" customFormat="false" ht="15.75" hidden="false" customHeight="false" outlineLevel="0" collapsed="false">
      <c r="B86" s="18"/>
      <c r="C86" s="18"/>
    </row>
    <row r="87" customFormat="false" ht="15.75" hidden="false" customHeight="false" outlineLevel="0" collapsed="false">
      <c r="B87" s="18"/>
      <c r="C87" s="18"/>
    </row>
    <row r="88" customFormat="false" ht="15.75" hidden="false" customHeight="false" outlineLevel="0" collapsed="false">
      <c r="B88" s="18"/>
      <c r="C88" s="18"/>
    </row>
    <row r="89" customFormat="false" ht="15.75" hidden="false" customHeight="false" outlineLevel="0" collapsed="false">
      <c r="B89" s="18"/>
      <c r="C89" s="18"/>
    </row>
    <row r="90" customFormat="false" ht="15.75" hidden="false" customHeight="false" outlineLevel="0" collapsed="false">
      <c r="B90" s="18"/>
      <c r="C90" s="18"/>
    </row>
    <row r="91" customFormat="false" ht="15.75" hidden="false" customHeight="false" outlineLevel="0" collapsed="false">
      <c r="B91" s="18"/>
      <c r="C91" s="18"/>
    </row>
    <row r="92" customFormat="false" ht="15.75" hidden="false" customHeight="false" outlineLevel="0" collapsed="false">
      <c r="B92" s="18"/>
      <c r="C92" s="18"/>
    </row>
    <row r="93" customFormat="false" ht="15.75" hidden="false" customHeight="false" outlineLevel="0" collapsed="false">
      <c r="B93" s="18"/>
      <c r="C93" s="18"/>
    </row>
    <row r="94" customFormat="false" ht="15.75" hidden="false" customHeight="false" outlineLevel="0" collapsed="false">
      <c r="B94" s="18"/>
      <c r="C94" s="18"/>
    </row>
    <row r="95" customFormat="false" ht="15.75" hidden="false" customHeight="false" outlineLevel="0" collapsed="false">
      <c r="B95" s="18"/>
      <c r="C95" s="18"/>
    </row>
    <row r="96" customFormat="false" ht="15.75" hidden="false" customHeight="false" outlineLevel="0" collapsed="false">
      <c r="B96" s="18"/>
      <c r="C96" s="18"/>
    </row>
    <row r="97" customFormat="false" ht="15.75" hidden="false" customHeight="false" outlineLevel="0" collapsed="false">
      <c r="B97" s="18"/>
      <c r="C97" s="18"/>
    </row>
    <row r="98" customFormat="false" ht="15.75" hidden="false" customHeight="false" outlineLevel="0" collapsed="false">
      <c r="B98" s="18"/>
      <c r="C98" s="18"/>
    </row>
    <row r="99" customFormat="false" ht="15.75" hidden="false" customHeight="false" outlineLevel="0" collapsed="false">
      <c r="B99" s="18"/>
      <c r="C99" s="18"/>
    </row>
    <row r="100" customFormat="false" ht="15.75" hidden="false" customHeight="false" outlineLevel="0" collapsed="false">
      <c r="B100" s="18"/>
      <c r="C100" s="18"/>
    </row>
    <row r="101" customFormat="false" ht="15.75" hidden="false" customHeight="false" outlineLevel="0" collapsed="false">
      <c r="B101" s="18"/>
      <c r="C101" s="18"/>
    </row>
    <row r="102" customFormat="false" ht="15.75" hidden="false" customHeight="false" outlineLevel="0" collapsed="false">
      <c r="B102" s="18"/>
      <c r="C102" s="18"/>
    </row>
    <row r="103" customFormat="false" ht="15.75" hidden="false" customHeight="false" outlineLevel="0" collapsed="false">
      <c r="B103" s="18"/>
      <c r="C103" s="18"/>
    </row>
    <row r="104" customFormat="false" ht="15.75" hidden="false" customHeight="false" outlineLevel="0" collapsed="false">
      <c r="B104" s="18"/>
      <c r="C104" s="18"/>
    </row>
    <row r="105" customFormat="false" ht="15.75" hidden="false" customHeight="false" outlineLevel="0" collapsed="false">
      <c r="B105" s="18"/>
      <c r="C105" s="18"/>
    </row>
    <row r="106" customFormat="false" ht="15.75" hidden="false" customHeight="false" outlineLevel="0" collapsed="false">
      <c r="B106" s="18"/>
      <c r="C106" s="18"/>
    </row>
    <row r="107" customFormat="false" ht="15.75" hidden="false" customHeight="false" outlineLevel="0" collapsed="false">
      <c r="B107" s="18"/>
      <c r="C107" s="18"/>
    </row>
    <row r="108" customFormat="false" ht="15.75" hidden="false" customHeight="false" outlineLevel="0" collapsed="false">
      <c r="B108" s="18"/>
      <c r="C108" s="18"/>
    </row>
    <row r="109" customFormat="false" ht="15.75" hidden="false" customHeight="false" outlineLevel="0" collapsed="false">
      <c r="B109" s="18"/>
      <c r="C109" s="18"/>
    </row>
    <row r="110" customFormat="false" ht="15.75" hidden="false" customHeight="false" outlineLevel="0" collapsed="false">
      <c r="B110" s="18"/>
      <c r="C110" s="18"/>
    </row>
    <row r="111" customFormat="false" ht="15.75" hidden="false" customHeight="false" outlineLevel="0" collapsed="false">
      <c r="B111" s="18"/>
      <c r="C111" s="18"/>
    </row>
    <row r="112" customFormat="false" ht="15.75" hidden="false" customHeight="false" outlineLevel="0" collapsed="false">
      <c r="B112" s="18"/>
      <c r="C112" s="18"/>
    </row>
    <row r="113" customFormat="false" ht="15.75" hidden="false" customHeight="false" outlineLevel="0" collapsed="false">
      <c r="B113" s="18"/>
      <c r="C113" s="18"/>
    </row>
    <row r="114" customFormat="false" ht="15.75" hidden="false" customHeight="false" outlineLevel="0" collapsed="false">
      <c r="B114" s="18"/>
      <c r="C114" s="18"/>
    </row>
    <row r="115" customFormat="false" ht="15.75" hidden="false" customHeight="false" outlineLevel="0" collapsed="false">
      <c r="B115" s="18"/>
      <c r="C115" s="18"/>
    </row>
    <row r="116" customFormat="false" ht="15.75" hidden="false" customHeight="false" outlineLevel="0" collapsed="false">
      <c r="B116" s="18"/>
      <c r="C116" s="18"/>
    </row>
    <row r="117" customFormat="false" ht="15.75" hidden="false" customHeight="false" outlineLevel="0" collapsed="false">
      <c r="B117" s="18"/>
      <c r="C117" s="18"/>
    </row>
    <row r="118" customFormat="false" ht="15.75" hidden="false" customHeight="false" outlineLevel="0" collapsed="false">
      <c r="B118" s="18"/>
      <c r="C118" s="18"/>
    </row>
    <row r="119" customFormat="false" ht="15.75" hidden="false" customHeight="false" outlineLevel="0" collapsed="false">
      <c r="B119" s="18"/>
      <c r="C119" s="18"/>
    </row>
    <row r="120" customFormat="false" ht="15.75" hidden="false" customHeight="false" outlineLevel="0" collapsed="false">
      <c r="B120" s="18"/>
      <c r="C120" s="18"/>
    </row>
    <row r="121" customFormat="false" ht="15.75" hidden="false" customHeight="false" outlineLevel="0" collapsed="false">
      <c r="B121" s="18"/>
      <c r="C121" s="18"/>
    </row>
    <row r="122" customFormat="false" ht="15.75" hidden="false" customHeight="false" outlineLevel="0" collapsed="false">
      <c r="B122" s="18"/>
      <c r="C122" s="18"/>
    </row>
    <row r="123" customFormat="false" ht="15.75" hidden="false" customHeight="false" outlineLevel="0" collapsed="false">
      <c r="B123" s="18"/>
      <c r="C123" s="18"/>
    </row>
    <row r="124" customFormat="false" ht="15.75" hidden="false" customHeight="false" outlineLevel="0" collapsed="false">
      <c r="B124" s="18"/>
      <c r="C124" s="18"/>
    </row>
    <row r="125" customFormat="false" ht="15.75" hidden="false" customHeight="false" outlineLevel="0" collapsed="false">
      <c r="B125" s="18"/>
      <c r="C125" s="18"/>
    </row>
    <row r="126" customFormat="false" ht="15.75" hidden="false" customHeight="false" outlineLevel="0" collapsed="false">
      <c r="B126" s="18"/>
      <c r="C126" s="18"/>
    </row>
    <row r="127" customFormat="false" ht="15.75" hidden="false" customHeight="false" outlineLevel="0" collapsed="false">
      <c r="B127" s="18"/>
      <c r="C127" s="18"/>
    </row>
    <row r="128" customFormat="false" ht="15.75" hidden="false" customHeight="false" outlineLevel="0" collapsed="false">
      <c r="B128" s="18"/>
      <c r="C128" s="18"/>
    </row>
    <row r="129" customFormat="false" ht="15.75" hidden="false" customHeight="false" outlineLevel="0" collapsed="false">
      <c r="B129" s="18"/>
      <c r="C129" s="18"/>
    </row>
    <row r="130" customFormat="false" ht="15.75" hidden="false" customHeight="false" outlineLevel="0" collapsed="false">
      <c r="B130" s="18"/>
      <c r="C130" s="18"/>
    </row>
    <row r="131" customFormat="false" ht="15.75" hidden="false" customHeight="false" outlineLevel="0" collapsed="false">
      <c r="B131" s="18"/>
      <c r="C131" s="18"/>
    </row>
    <row r="132" customFormat="false" ht="15.75" hidden="false" customHeight="false" outlineLevel="0" collapsed="false">
      <c r="B132" s="18"/>
      <c r="C132" s="18"/>
    </row>
    <row r="133" customFormat="false" ht="15.75" hidden="false" customHeight="false" outlineLevel="0" collapsed="false">
      <c r="B133" s="18"/>
      <c r="C133" s="18"/>
    </row>
    <row r="134" customFormat="false" ht="15.75" hidden="false" customHeight="false" outlineLevel="0" collapsed="false">
      <c r="B134" s="18"/>
      <c r="C134" s="18"/>
    </row>
    <row r="135" customFormat="false" ht="15.75" hidden="false" customHeight="false" outlineLevel="0" collapsed="false">
      <c r="B135" s="18"/>
      <c r="C135" s="18"/>
    </row>
    <row r="136" customFormat="false" ht="15.75" hidden="false" customHeight="false" outlineLevel="0" collapsed="false">
      <c r="B136" s="18"/>
      <c r="C136" s="18"/>
    </row>
    <row r="137" customFormat="false" ht="15.75" hidden="false" customHeight="false" outlineLevel="0" collapsed="false">
      <c r="B137" s="18"/>
      <c r="C137" s="18"/>
    </row>
    <row r="138" customFormat="false" ht="15.75" hidden="false" customHeight="false" outlineLevel="0" collapsed="false">
      <c r="B138" s="18"/>
      <c r="C138" s="18"/>
    </row>
    <row r="139" customFormat="false" ht="15.75" hidden="false" customHeight="false" outlineLevel="0" collapsed="false">
      <c r="B139" s="18"/>
      <c r="C139" s="18"/>
    </row>
    <row r="140" customFormat="false" ht="15.75" hidden="false" customHeight="false" outlineLevel="0" collapsed="false">
      <c r="B140" s="18"/>
      <c r="C140" s="18"/>
    </row>
    <row r="141" customFormat="false" ht="15.75" hidden="false" customHeight="false" outlineLevel="0" collapsed="false">
      <c r="B141" s="18"/>
      <c r="C141" s="18"/>
    </row>
    <row r="142" customFormat="false" ht="15.75" hidden="false" customHeight="false" outlineLevel="0" collapsed="false">
      <c r="B142" s="18"/>
      <c r="C142" s="18"/>
    </row>
    <row r="143" customFormat="false" ht="15.75" hidden="false" customHeight="false" outlineLevel="0" collapsed="false">
      <c r="B143" s="18"/>
      <c r="C143" s="18"/>
    </row>
    <row r="144" customFormat="false" ht="15.75" hidden="false" customHeight="false" outlineLevel="0" collapsed="false">
      <c r="B144" s="18"/>
      <c r="C144" s="18"/>
    </row>
    <row r="145" customFormat="false" ht="15.75" hidden="false" customHeight="false" outlineLevel="0" collapsed="false">
      <c r="B145" s="18"/>
      <c r="C145" s="18"/>
    </row>
    <row r="146" customFormat="false" ht="15.75" hidden="false" customHeight="false" outlineLevel="0" collapsed="false">
      <c r="B146" s="18"/>
      <c r="C146" s="18"/>
    </row>
    <row r="147" customFormat="false" ht="15.75" hidden="false" customHeight="false" outlineLevel="0" collapsed="false">
      <c r="B147" s="18"/>
      <c r="C147" s="18"/>
    </row>
    <row r="148" customFormat="false" ht="15.75" hidden="false" customHeight="false" outlineLevel="0" collapsed="false">
      <c r="B148" s="18"/>
      <c r="C148" s="18"/>
    </row>
    <row r="149" customFormat="false" ht="15.75" hidden="false" customHeight="false" outlineLevel="0" collapsed="false">
      <c r="B149" s="18"/>
      <c r="C149" s="18"/>
    </row>
    <row r="150" customFormat="false" ht="15.75" hidden="false" customHeight="false" outlineLevel="0" collapsed="false">
      <c r="B150" s="18"/>
      <c r="C150" s="18"/>
    </row>
    <row r="151" customFormat="false" ht="15.75" hidden="false" customHeight="false" outlineLevel="0" collapsed="false">
      <c r="B151" s="18"/>
      <c r="C151" s="18"/>
    </row>
    <row r="152" customFormat="false" ht="15.75" hidden="false" customHeight="false" outlineLevel="0" collapsed="false">
      <c r="B152" s="18"/>
      <c r="C152" s="18"/>
    </row>
    <row r="153" customFormat="false" ht="15.75" hidden="false" customHeight="false" outlineLevel="0" collapsed="false">
      <c r="B153" s="18"/>
      <c r="C153" s="18"/>
    </row>
    <row r="154" customFormat="false" ht="15.75" hidden="false" customHeight="false" outlineLevel="0" collapsed="false">
      <c r="B154" s="18"/>
      <c r="C154" s="18"/>
    </row>
    <row r="155" customFormat="false" ht="15.75" hidden="false" customHeight="false" outlineLevel="0" collapsed="false">
      <c r="B155" s="18"/>
      <c r="C155" s="18"/>
    </row>
    <row r="156" customFormat="false" ht="15.75" hidden="false" customHeight="false" outlineLevel="0" collapsed="false">
      <c r="B156" s="18"/>
      <c r="C156" s="18"/>
    </row>
    <row r="157" customFormat="false" ht="15.75" hidden="false" customHeight="false" outlineLevel="0" collapsed="false">
      <c r="B157" s="18"/>
      <c r="C157" s="18"/>
    </row>
    <row r="158" customFormat="false" ht="15.75" hidden="false" customHeight="false" outlineLevel="0" collapsed="false">
      <c r="B158" s="18"/>
      <c r="C158" s="18"/>
    </row>
    <row r="159" customFormat="false" ht="15.75" hidden="false" customHeight="false" outlineLevel="0" collapsed="false">
      <c r="B159" s="18"/>
      <c r="C159" s="18"/>
    </row>
    <row r="160" customFormat="false" ht="15.75" hidden="false" customHeight="false" outlineLevel="0" collapsed="false">
      <c r="B160" s="18"/>
      <c r="C160" s="18"/>
    </row>
    <row r="161" customFormat="false" ht="15.75" hidden="false" customHeight="false" outlineLevel="0" collapsed="false">
      <c r="B161" s="18"/>
      <c r="C161" s="18"/>
    </row>
    <row r="162" customFormat="false" ht="15.75" hidden="false" customHeight="false" outlineLevel="0" collapsed="false">
      <c r="B162" s="18"/>
      <c r="C162" s="18"/>
    </row>
    <row r="163" customFormat="false" ht="15.75" hidden="false" customHeight="false" outlineLevel="0" collapsed="false">
      <c r="B163" s="18"/>
      <c r="C163" s="18"/>
    </row>
    <row r="164" customFormat="false" ht="15.75" hidden="false" customHeight="false" outlineLevel="0" collapsed="false">
      <c r="B164" s="18"/>
      <c r="C164" s="18"/>
    </row>
    <row r="165" customFormat="false" ht="15.75" hidden="false" customHeight="false" outlineLevel="0" collapsed="false">
      <c r="B165" s="18"/>
      <c r="C165" s="18"/>
    </row>
    <row r="166" customFormat="false" ht="15.75" hidden="false" customHeight="false" outlineLevel="0" collapsed="false">
      <c r="B166" s="18"/>
      <c r="C166" s="18"/>
    </row>
    <row r="167" customFormat="false" ht="15.75" hidden="false" customHeight="false" outlineLevel="0" collapsed="false">
      <c r="B167" s="18"/>
      <c r="C167" s="18"/>
    </row>
    <row r="168" customFormat="false" ht="15.75" hidden="false" customHeight="false" outlineLevel="0" collapsed="false">
      <c r="B168" s="18"/>
      <c r="C168" s="18"/>
    </row>
    <row r="169" customFormat="false" ht="15.75" hidden="false" customHeight="false" outlineLevel="0" collapsed="false">
      <c r="B169" s="18"/>
      <c r="C169" s="18"/>
    </row>
    <row r="170" customFormat="false" ht="15.75" hidden="false" customHeight="false" outlineLevel="0" collapsed="false">
      <c r="B170" s="18"/>
      <c r="C170" s="18"/>
    </row>
    <row r="171" customFormat="false" ht="15.75" hidden="false" customHeight="false" outlineLevel="0" collapsed="false">
      <c r="B171" s="18"/>
      <c r="C171" s="18"/>
    </row>
    <row r="172" customFormat="false" ht="15.75" hidden="false" customHeight="false" outlineLevel="0" collapsed="false">
      <c r="B172" s="18"/>
      <c r="C172" s="18"/>
    </row>
    <row r="173" customFormat="false" ht="15.75" hidden="false" customHeight="false" outlineLevel="0" collapsed="false">
      <c r="B173" s="18"/>
      <c r="C173" s="18"/>
    </row>
    <row r="174" customFormat="false" ht="15.75" hidden="false" customHeight="false" outlineLevel="0" collapsed="false">
      <c r="B174" s="18"/>
      <c r="C174" s="18"/>
    </row>
    <row r="175" customFormat="false" ht="15.75" hidden="false" customHeight="false" outlineLevel="0" collapsed="false">
      <c r="B175" s="18"/>
      <c r="C175" s="18"/>
    </row>
    <row r="176" customFormat="false" ht="15.75" hidden="false" customHeight="false" outlineLevel="0" collapsed="false">
      <c r="B176" s="18"/>
      <c r="C176" s="18"/>
    </row>
    <row r="177" customFormat="false" ht="15.75" hidden="false" customHeight="false" outlineLevel="0" collapsed="false">
      <c r="B177" s="18"/>
      <c r="C177" s="18"/>
    </row>
    <row r="178" customFormat="false" ht="15.75" hidden="false" customHeight="false" outlineLevel="0" collapsed="false">
      <c r="B178" s="18"/>
      <c r="C178" s="18"/>
    </row>
    <row r="179" customFormat="false" ht="15.75" hidden="false" customHeight="false" outlineLevel="0" collapsed="false">
      <c r="B179" s="18"/>
      <c r="C179" s="18"/>
    </row>
    <row r="180" customFormat="false" ht="15.75" hidden="false" customHeight="false" outlineLevel="0" collapsed="false">
      <c r="B180" s="18"/>
      <c r="C180" s="18"/>
    </row>
    <row r="181" customFormat="false" ht="15.75" hidden="false" customHeight="false" outlineLevel="0" collapsed="false">
      <c r="B181" s="18"/>
      <c r="C181" s="18"/>
    </row>
    <row r="182" customFormat="false" ht="15.75" hidden="false" customHeight="false" outlineLevel="0" collapsed="false">
      <c r="B182" s="18"/>
      <c r="C182" s="18"/>
    </row>
    <row r="183" customFormat="false" ht="15.75" hidden="false" customHeight="false" outlineLevel="0" collapsed="false">
      <c r="B183" s="18"/>
      <c r="C183" s="18"/>
    </row>
    <row r="184" customFormat="false" ht="15.75" hidden="false" customHeight="false" outlineLevel="0" collapsed="false">
      <c r="B184" s="18"/>
      <c r="C184" s="18"/>
    </row>
    <row r="185" customFormat="false" ht="15.75" hidden="false" customHeight="false" outlineLevel="0" collapsed="false">
      <c r="B185" s="18"/>
      <c r="C185" s="18"/>
    </row>
    <row r="186" customFormat="false" ht="15.75" hidden="false" customHeight="false" outlineLevel="0" collapsed="false">
      <c r="B186" s="18"/>
      <c r="C186" s="18"/>
    </row>
    <row r="187" customFormat="false" ht="15.75" hidden="false" customHeight="false" outlineLevel="0" collapsed="false">
      <c r="B187" s="18"/>
      <c r="C187" s="18"/>
    </row>
    <row r="188" customFormat="false" ht="15.75" hidden="false" customHeight="false" outlineLevel="0" collapsed="false">
      <c r="B188" s="18"/>
      <c r="C188" s="18"/>
    </row>
    <row r="189" customFormat="false" ht="15.75" hidden="false" customHeight="false" outlineLevel="0" collapsed="false">
      <c r="B189" s="18"/>
      <c r="C189" s="18"/>
    </row>
    <row r="190" customFormat="false" ht="15.75" hidden="false" customHeight="false" outlineLevel="0" collapsed="false">
      <c r="B190" s="18"/>
      <c r="C190" s="18"/>
    </row>
    <row r="191" customFormat="false" ht="15.75" hidden="false" customHeight="false" outlineLevel="0" collapsed="false">
      <c r="B191" s="18"/>
      <c r="C191" s="18"/>
    </row>
    <row r="192" customFormat="false" ht="15.75" hidden="false" customHeight="false" outlineLevel="0" collapsed="false">
      <c r="B192" s="18"/>
      <c r="C192" s="18"/>
    </row>
    <row r="193" customFormat="false" ht="15.75" hidden="false" customHeight="false" outlineLevel="0" collapsed="false">
      <c r="B193" s="18"/>
      <c r="C193" s="18"/>
    </row>
    <row r="194" customFormat="false" ht="15.75" hidden="false" customHeight="false" outlineLevel="0" collapsed="false">
      <c r="B194" s="18"/>
      <c r="C194" s="18"/>
    </row>
    <row r="195" customFormat="false" ht="15.75" hidden="false" customHeight="false" outlineLevel="0" collapsed="false">
      <c r="B195" s="18"/>
      <c r="C195" s="18"/>
    </row>
    <row r="196" customFormat="false" ht="15.75" hidden="false" customHeight="false" outlineLevel="0" collapsed="false">
      <c r="B196" s="18"/>
      <c r="C196" s="18"/>
    </row>
    <row r="197" customFormat="false" ht="15.75" hidden="false" customHeight="false" outlineLevel="0" collapsed="false">
      <c r="B197" s="18"/>
      <c r="C197" s="18"/>
    </row>
    <row r="198" customFormat="false" ht="15.75" hidden="false" customHeight="false" outlineLevel="0" collapsed="false">
      <c r="B198" s="18"/>
      <c r="C198" s="18"/>
    </row>
    <row r="199" customFormat="false" ht="15.75" hidden="false" customHeight="false" outlineLevel="0" collapsed="false">
      <c r="B199" s="18"/>
      <c r="C199" s="18"/>
    </row>
    <row r="200" customFormat="false" ht="15.75" hidden="false" customHeight="false" outlineLevel="0" collapsed="false">
      <c r="B200" s="18"/>
      <c r="C200" s="18"/>
    </row>
    <row r="201" customFormat="false" ht="15.75" hidden="false" customHeight="false" outlineLevel="0" collapsed="false">
      <c r="B201" s="18"/>
      <c r="C201" s="18"/>
    </row>
    <row r="202" customFormat="false" ht="15.75" hidden="false" customHeight="false" outlineLevel="0" collapsed="false">
      <c r="B202" s="18"/>
      <c r="C202" s="18"/>
    </row>
    <row r="203" customFormat="false" ht="15.75" hidden="false" customHeight="false" outlineLevel="0" collapsed="false">
      <c r="B203" s="18"/>
      <c r="C203" s="18"/>
    </row>
    <row r="204" customFormat="false" ht="15.75" hidden="false" customHeight="false" outlineLevel="0" collapsed="false">
      <c r="B204" s="18"/>
      <c r="C204" s="18"/>
    </row>
    <row r="205" customFormat="false" ht="15.75" hidden="false" customHeight="false" outlineLevel="0" collapsed="false">
      <c r="B205" s="18"/>
      <c r="C205" s="18"/>
    </row>
    <row r="206" customFormat="false" ht="15.75" hidden="false" customHeight="false" outlineLevel="0" collapsed="false">
      <c r="B206" s="18"/>
      <c r="C206" s="18"/>
    </row>
    <row r="207" customFormat="false" ht="15.75" hidden="false" customHeight="false" outlineLevel="0" collapsed="false">
      <c r="B207" s="18"/>
      <c r="C207" s="18"/>
    </row>
    <row r="208" customFormat="false" ht="15.75" hidden="false" customHeight="false" outlineLevel="0" collapsed="false">
      <c r="B208" s="18"/>
      <c r="C208" s="18"/>
    </row>
    <row r="209" customFormat="false" ht="15.75" hidden="false" customHeight="false" outlineLevel="0" collapsed="false">
      <c r="B209" s="18"/>
      <c r="C209" s="18"/>
    </row>
    <row r="210" customFormat="false" ht="15.75" hidden="false" customHeight="false" outlineLevel="0" collapsed="false">
      <c r="B210" s="18"/>
      <c r="C210" s="18"/>
    </row>
    <row r="211" customFormat="false" ht="15.75" hidden="false" customHeight="false" outlineLevel="0" collapsed="false">
      <c r="B211" s="18"/>
      <c r="C211" s="18"/>
    </row>
    <row r="212" customFormat="false" ht="15.75" hidden="false" customHeight="false" outlineLevel="0" collapsed="false">
      <c r="B212" s="18"/>
      <c r="C212" s="18"/>
    </row>
    <row r="213" customFormat="false" ht="15.75" hidden="false" customHeight="false" outlineLevel="0" collapsed="false">
      <c r="B213" s="18"/>
      <c r="C213" s="18"/>
    </row>
    <row r="214" customFormat="false" ht="15.75" hidden="false" customHeight="false" outlineLevel="0" collapsed="false">
      <c r="B214" s="18"/>
      <c r="C214" s="18"/>
    </row>
    <row r="215" customFormat="false" ht="15.75" hidden="false" customHeight="false" outlineLevel="0" collapsed="false">
      <c r="B215" s="18"/>
      <c r="C215" s="18"/>
    </row>
    <row r="216" customFormat="false" ht="15.75" hidden="false" customHeight="false" outlineLevel="0" collapsed="false">
      <c r="B216" s="18"/>
      <c r="C216" s="18"/>
    </row>
    <row r="217" customFormat="false" ht="15.75" hidden="false" customHeight="false" outlineLevel="0" collapsed="false">
      <c r="B217" s="18"/>
      <c r="C217" s="18"/>
    </row>
    <row r="218" customFormat="false" ht="15.75" hidden="false" customHeight="false" outlineLevel="0" collapsed="false">
      <c r="B218" s="18"/>
      <c r="C218" s="18"/>
    </row>
    <row r="219" customFormat="false" ht="15.75" hidden="false" customHeight="false" outlineLevel="0" collapsed="false">
      <c r="B219" s="18"/>
      <c r="C219" s="18"/>
    </row>
    <row r="220" customFormat="false" ht="15.75" hidden="false" customHeight="false" outlineLevel="0" collapsed="false">
      <c r="B220" s="18"/>
      <c r="C220" s="18"/>
    </row>
    <row r="221" customFormat="false" ht="15.75" hidden="false" customHeight="false" outlineLevel="0" collapsed="false">
      <c r="B221" s="18"/>
      <c r="C221" s="18"/>
    </row>
    <row r="222" customFormat="false" ht="15.75" hidden="false" customHeight="false" outlineLevel="0" collapsed="false">
      <c r="B222" s="18"/>
      <c r="C222" s="18"/>
    </row>
    <row r="223" customFormat="false" ht="15.75" hidden="false" customHeight="false" outlineLevel="0" collapsed="false">
      <c r="B223" s="18"/>
      <c r="C223" s="18"/>
    </row>
    <row r="224" customFormat="false" ht="15.75" hidden="false" customHeight="false" outlineLevel="0" collapsed="false">
      <c r="B224" s="18"/>
      <c r="C224" s="18"/>
    </row>
    <row r="225" customFormat="false" ht="15.75" hidden="false" customHeight="false" outlineLevel="0" collapsed="false">
      <c r="B225" s="18"/>
      <c r="C225" s="18"/>
    </row>
    <row r="226" customFormat="false" ht="15.75" hidden="false" customHeight="false" outlineLevel="0" collapsed="false">
      <c r="B226" s="18"/>
      <c r="C226" s="18"/>
    </row>
    <row r="227" customFormat="false" ht="15.75" hidden="false" customHeight="false" outlineLevel="0" collapsed="false">
      <c r="B227" s="18"/>
      <c r="C227" s="18"/>
    </row>
    <row r="228" customFormat="false" ht="15.75" hidden="false" customHeight="false" outlineLevel="0" collapsed="false">
      <c r="B228" s="18"/>
      <c r="C228" s="18"/>
    </row>
    <row r="229" customFormat="false" ht="15.75" hidden="false" customHeight="false" outlineLevel="0" collapsed="false">
      <c r="B229" s="18"/>
      <c r="C229" s="18"/>
    </row>
    <row r="230" customFormat="false" ht="15.75" hidden="false" customHeight="false" outlineLevel="0" collapsed="false">
      <c r="B230" s="18"/>
      <c r="C230" s="18"/>
    </row>
    <row r="231" customFormat="false" ht="15.75" hidden="false" customHeight="false" outlineLevel="0" collapsed="false">
      <c r="B231" s="18"/>
      <c r="C231" s="18"/>
    </row>
    <row r="232" customFormat="false" ht="15.75" hidden="false" customHeight="false" outlineLevel="0" collapsed="false">
      <c r="B232" s="18"/>
      <c r="C232" s="18"/>
    </row>
    <row r="233" customFormat="false" ht="15.75" hidden="false" customHeight="false" outlineLevel="0" collapsed="false">
      <c r="B233" s="18"/>
      <c r="C233" s="18"/>
    </row>
    <row r="234" customFormat="false" ht="15.75" hidden="false" customHeight="false" outlineLevel="0" collapsed="false">
      <c r="B234" s="18"/>
      <c r="C234" s="18"/>
    </row>
    <row r="235" customFormat="false" ht="15.75" hidden="false" customHeight="false" outlineLevel="0" collapsed="false">
      <c r="B235" s="18"/>
      <c r="C235" s="18"/>
    </row>
    <row r="236" customFormat="false" ht="15.75" hidden="false" customHeight="false" outlineLevel="0" collapsed="false">
      <c r="B236" s="18"/>
      <c r="C236" s="18"/>
    </row>
    <row r="237" customFormat="false" ht="15.75" hidden="false" customHeight="false" outlineLevel="0" collapsed="false">
      <c r="B237" s="18"/>
      <c r="C237" s="18"/>
    </row>
    <row r="238" customFormat="false" ht="15.75" hidden="false" customHeight="false" outlineLevel="0" collapsed="false">
      <c r="B238" s="18"/>
      <c r="C238" s="18"/>
    </row>
    <row r="239" customFormat="false" ht="15.75" hidden="false" customHeight="false" outlineLevel="0" collapsed="false">
      <c r="B239" s="18"/>
      <c r="C239" s="18"/>
    </row>
    <row r="240" customFormat="false" ht="15.75" hidden="false" customHeight="false" outlineLevel="0" collapsed="false">
      <c r="B240" s="18"/>
      <c r="C240" s="18"/>
    </row>
    <row r="241" customFormat="false" ht="15.75" hidden="false" customHeight="false" outlineLevel="0" collapsed="false">
      <c r="B241" s="18"/>
      <c r="C241" s="18"/>
    </row>
    <row r="242" customFormat="false" ht="15.75" hidden="false" customHeight="false" outlineLevel="0" collapsed="false">
      <c r="B242" s="18"/>
      <c r="C242" s="18"/>
    </row>
    <row r="243" customFormat="false" ht="15.75" hidden="false" customHeight="false" outlineLevel="0" collapsed="false">
      <c r="B243" s="18"/>
      <c r="C243" s="18"/>
    </row>
    <row r="244" customFormat="false" ht="15.75" hidden="false" customHeight="false" outlineLevel="0" collapsed="false">
      <c r="B244" s="18"/>
      <c r="C244" s="18"/>
    </row>
    <row r="245" customFormat="false" ht="15.75" hidden="false" customHeight="false" outlineLevel="0" collapsed="false">
      <c r="B245" s="18"/>
      <c r="C245" s="18"/>
    </row>
    <row r="246" customFormat="false" ht="15.75" hidden="false" customHeight="false" outlineLevel="0" collapsed="false">
      <c r="B246" s="18"/>
      <c r="C246" s="18"/>
    </row>
    <row r="247" customFormat="false" ht="15.75" hidden="false" customHeight="false" outlineLevel="0" collapsed="false">
      <c r="B247" s="18"/>
      <c r="C247" s="18"/>
    </row>
    <row r="248" customFormat="false" ht="15.75" hidden="false" customHeight="false" outlineLevel="0" collapsed="false">
      <c r="B248" s="18"/>
      <c r="C248" s="18"/>
    </row>
    <row r="249" customFormat="false" ht="15.75" hidden="false" customHeight="false" outlineLevel="0" collapsed="false">
      <c r="B249" s="18"/>
      <c r="C249" s="18"/>
    </row>
    <row r="250" customFormat="false" ht="15.75" hidden="false" customHeight="false" outlineLevel="0" collapsed="false">
      <c r="B250" s="18"/>
      <c r="C250" s="18"/>
    </row>
    <row r="251" customFormat="false" ht="15.75" hidden="false" customHeight="false" outlineLevel="0" collapsed="false">
      <c r="B251" s="18"/>
      <c r="C251" s="18"/>
    </row>
    <row r="252" customFormat="false" ht="15.75" hidden="false" customHeight="false" outlineLevel="0" collapsed="false">
      <c r="B252" s="18"/>
      <c r="C252" s="18"/>
    </row>
    <row r="253" customFormat="false" ht="15.75" hidden="false" customHeight="false" outlineLevel="0" collapsed="false">
      <c r="B253" s="18"/>
      <c r="C253" s="18"/>
    </row>
    <row r="254" customFormat="false" ht="15.75" hidden="false" customHeight="false" outlineLevel="0" collapsed="false">
      <c r="B254" s="18"/>
      <c r="C254" s="18"/>
    </row>
    <row r="255" customFormat="false" ht="15.75" hidden="false" customHeight="false" outlineLevel="0" collapsed="false">
      <c r="B255" s="18"/>
      <c r="C255" s="18"/>
    </row>
    <row r="256" customFormat="false" ht="15.75" hidden="false" customHeight="false" outlineLevel="0" collapsed="false">
      <c r="B256" s="18"/>
      <c r="C256" s="18"/>
    </row>
    <row r="257" customFormat="false" ht="15.75" hidden="false" customHeight="false" outlineLevel="0" collapsed="false">
      <c r="B257" s="18"/>
      <c r="C257" s="18"/>
    </row>
    <row r="258" customFormat="false" ht="15.75" hidden="false" customHeight="false" outlineLevel="0" collapsed="false">
      <c r="B258" s="18"/>
      <c r="C258" s="18"/>
    </row>
    <row r="259" customFormat="false" ht="15.75" hidden="false" customHeight="false" outlineLevel="0" collapsed="false">
      <c r="B259" s="18"/>
      <c r="C259" s="18"/>
    </row>
    <row r="260" customFormat="false" ht="15.75" hidden="false" customHeight="false" outlineLevel="0" collapsed="false">
      <c r="B260" s="18"/>
      <c r="C260" s="18"/>
    </row>
    <row r="261" customFormat="false" ht="15.75" hidden="false" customHeight="false" outlineLevel="0" collapsed="false">
      <c r="B261" s="18"/>
      <c r="C261" s="18"/>
    </row>
    <row r="262" customFormat="false" ht="15.75" hidden="false" customHeight="false" outlineLevel="0" collapsed="false">
      <c r="B262" s="18"/>
      <c r="C262" s="18"/>
    </row>
    <row r="263" customFormat="false" ht="15.75" hidden="false" customHeight="false" outlineLevel="0" collapsed="false">
      <c r="B263" s="18"/>
      <c r="C263" s="18"/>
    </row>
    <row r="264" customFormat="false" ht="15.75" hidden="false" customHeight="false" outlineLevel="0" collapsed="false">
      <c r="B264" s="18"/>
      <c r="C264" s="18"/>
    </row>
    <row r="265" customFormat="false" ht="15.75" hidden="false" customHeight="false" outlineLevel="0" collapsed="false">
      <c r="B265" s="18"/>
      <c r="C265" s="18"/>
    </row>
    <row r="266" customFormat="false" ht="15.75" hidden="false" customHeight="false" outlineLevel="0" collapsed="false">
      <c r="B266" s="18"/>
      <c r="C266" s="18"/>
    </row>
    <row r="267" customFormat="false" ht="15.75" hidden="false" customHeight="false" outlineLevel="0" collapsed="false">
      <c r="B267" s="18"/>
      <c r="C267" s="18"/>
    </row>
    <row r="268" customFormat="false" ht="15.75" hidden="false" customHeight="false" outlineLevel="0" collapsed="false">
      <c r="B268" s="18"/>
      <c r="C268" s="18"/>
    </row>
    <row r="269" customFormat="false" ht="15.75" hidden="false" customHeight="false" outlineLevel="0" collapsed="false">
      <c r="B269" s="18"/>
      <c r="C269" s="18"/>
    </row>
    <row r="270" customFormat="false" ht="15.75" hidden="false" customHeight="false" outlineLevel="0" collapsed="false">
      <c r="B270" s="18"/>
      <c r="C270" s="18"/>
    </row>
    <row r="271" customFormat="false" ht="15.75" hidden="false" customHeight="false" outlineLevel="0" collapsed="false">
      <c r="B271" s="18"/>
      <c r="C271" s="18"/>
    </row>
    <row r="272" customFormat="false" ht="15.75" hidden="false" customHeight="false" outlineLevel="0" collapsed="false">
      <c r="B272" s="18"/>
      <c r="C272" s="18"/>
    </row>
    <row r="273" customFormat="false" ht="15.75" hidden="false" customHeight="false" outlineLevel="0" collapsed="false">
      <c r="B273" s="18"/>
      <c r="C273" s="18"/>
    </row>
    <row r="274" customFormat="false" ht="15.75" hidden="false" customHeight="false" outlineLevel="0" collapsed="false">
      <c r="B274" s="18"/>
      <c r="C274" s="18"/>
    </row>
    <row r="275" customFormat="false" ht="15.75" hidden="false" customHeight="false" outlineLevel="0" collapsed="false">
      <c r="B275" s="18"/>
      <c r="C275" s="18"/>
    </row>
    <row r="276" customFormat="false" ht="15.75" hidden="false" customHeight="false" outlineLevel="0" collapsed="false">
      <c r="B276" s="18"/>
      <c r="C276" s="18"/>
    </row>
    <row r="277" customFormat="false" ht="15.75" hidden="false" customHeight="false" outlineLevel="0" collapsed="false">
      <c r="B277" s="18"/>
      <c r="C277" s="18"/>
    </row>
    <row r="278" customFormat="false" ht="15.75" hidden="false" customHeight="false" outlineLevel="0" collapsed="false">
      <c r="B278" s="18"/>
      <c r="C278" s="18"/>
    </row>
    <row r="279" customFormat="false" ht="15.75" hidden="false" customHeight="false" outlineLevel="0" collapsed="false">
      <c r="B279" s="18"/>
      <c r="C279" s="18"/>
    </row>
    <row r="280" customFormat="false" ht="15.75" hidden="false" customHeight="false" outlineLevel="0" collapsed="false">
      <c r="B280" s="18"/>
      <c r="C280" s="18"/>
    </row>
    <row r="281" customFormat="false" ht="15.75" hidden="false" customHeight="false" outlineLevel="0" collapsed="false">
      <c r="B281" s="18"/>
      <c r="C281" s="18"/>
    </row>
    <row r="282" customFormat="false" ht="15.75" hidden="false" customHeight="false" outlineLevel="0" collapsed="false">
      <c r="B282" s="18"/>
      <c r="C282" s="18"/>
    </row>
    <row r="283" customFormat="false" ht="15.75" hidden="false" customHeight="false" outlineLevel="0" collapsed="false">
      <c r="B283" s="18"/>
      <c r="C283" s="18"/>
    </row>
    <row r="284" customFormat="false" ht="15.75" hidden="false" customHeight="false" outlineLevel="0" collapsed="false">
      <c r="B284" s="18"/>
      <c r="C284" s="18"/>
    </row>
    <row r="285" customFormat="false" ht="15.75" hidden="false" customHeight="false" outlineLevel="0" collapsed="false">
      <c r="B285" s="18"/>
      <c r="C285" s="18"/>
    </row>
    <row r="286" customFormat="false" ht="15.75" hidden="false" customHeight="false" outlineLevel="0" collapsed="false">
      <c r="B286" s="18"/>
      <c r="C286" s="18"/>
    </row>
    <row r="287" customFormat="false" ht="15.75" hidden="false" customHeight="false" outlineLevel="0" collapsed="false">
      <c r="B287" s="18"/>
      <c r="C287" s="18"/>
    </row>
    <row r="288" customFormat="false" ht="15.75" hidden="false" customHeight="false" outlineLevel="0" collapsed="false">
      <c r="B288" s="18"/>
      <c r="C288" s="18"/>
    </row>
    <row r="289" customFormat="false" ht="15.75" hidden="false" customHeight="false" outlineLevel="0" collapsed="false">
      <c r="B289" s="18"/>
      <c r="C289" s="18"/>
    </row>
    <row r="290" customFormat="false" ht="15.75" hidden="false" customHeight="false" outlineLevel="0" collapsed="false">
      <c r="B290" s="18"/>
      <c r="C290" s="18"/>
    </row>
    <row r="291" customFormat="false" ht="15.75" hidden="false" customHeight="false" outlineLevel="0" collapsed="false">
      <c r="B291" s="18"/>
      <c r="C291" s="18"/>
    </row>
    <row r="292" customFormat="false" ht="15.75" hidden="false" customHeight="false" outlineLevel="0" collapsed="false">
      <c r="B292" s="18"/>
      <c r="C292" s="18"/>
    </row>
    <row r="293" customFormat="false" ht="15.75" hidden="false" customHeight="false" outlineLevel="0" collapsed="false">
      <c r="B293" s="18"/>
      <c r="C293" s="18"/>
    </row>
    <row r="294" customFormat="false" ht="15.75" hidden="false" customHeight="false" outlineLevel="0" collapsed="false">
      <c r="B294" s="18"/>
      <c r="C294" s="18"/>
    </row>
    <row r="295" customFormat="false" ht="15.75" hidden="false" customHeight="false" outlineLevel="0" collapsed="false">
      <c r="B295" s="18"/>
      <c r="C295" s="18"/>
    </row>
    <row r="296" customFormat="false" ht="15.75" hidden="false" customHeight="false" outlineLevel="0" collapsed="false">
      <c r="B296" s="18"/>
      <c r="C296" s="18"/>
    </row>
    <row r="297" customFormat="false" ht="15.75" hidden="false" customHeight="false" outlineLevel="0" collapsed="false">
      <c r="B297" s="18"/>
      <c r="C297" s="18"/>
    </row>
    <row r="298" customFormat="false" ht="15.75" hidden="false" customHeight="false" outlineLevel="0" collapsed="false">
      <c r="B298" s="18"/>
      <c r="C298" s="18"/>
    </row>
    <row r="299" customFormat="false" ht="15.75" hidden="false" customHeight="false" outlineLevel="0" collapsed="false">
      <c r="B299" s="18"/>
      <c r="C299" s="18"/>
    </row>
    <row r="300" customFormat="false" ht="15.75" hidden="false" customHeight="false" outlineLevel="0" collapsed="false">
      <c r="B300" s="18"/>
      <c r="C300" s="18"/>
    </row>
    <row r="301" customFormat="false" ht="15.75" hidden="false" customHeight="false" outlineLevel="0" collapsed="false">
      <c r="B301" s="18"/>
      <c r="C301" s="18"/>
    </row>
    <row r="302" customFormat="false" ht="15.75" hidden="false" customHeight="false" outlineLevel="0" collapsed="false">
      <c r="B302" s="18"/>
      <c r="C302" s="18"/>
    </row>
    <row r="303" customFormat="false" ht="15.75" hidden="false" customHeight="false" outlineLevel="0" collapsed="false">
      <c r="B303" s="18"/>
      <c r="C303" s="18"/>
    </row>
    <row r="304" customFormat="false" ht="15.75" hidden="false" customHeight="false" outlineLevel="0" collapsed="false">
      <c r="B304" s="18"/>
      <c r="C304" s="18"/>
    </row>
    <row r="305" customFormat="false" ht="15.75" hidden="false" customHeight="false" outlineLevel="0" collapsed="false">
      <c r="B305" s="18"/>
      <c r="C305" s="18"/>
    </row>
    <row r="306" customFormat="false" ht="15.75" hidden="false" customHeight="false" outlineLevel="0" collapsed="false">
      <c r="B306" s="18"/>
      <c r="C306" s="18"/>
    </row>
    <row r="307" customFormat="false" ht="15.75" hidden="false" customHeight="false" outlineLevel="0" collapsed="false">
      <c r="B307" s="18"/>
      <c r="C307" s="18"/>
    </row>
    <row r="308" customFormat="false" ht="15.75" hidden="false" customHeight="false" outlineLevel="0" collapsed="false">
      <c r="B308" s="18"/>
      <c r="C308" s="18"/>
    </row>
    <row r="309" customFormat="false" ht="15.75" hidden="false" customHeight="false" outlineLevel="0" collapsed="false">
      <c r="B309" s="18"/>
      <c r="C309" s="18"/>
    </row>
    <row r="310" customFormat="false" ht="15.75" hidden="false" customHeight="false" outlineLevel="0" collapsed="false">
      <c r="B310" s="18"/>
      <c r="C310" s="18"/>
    </row>
    <row r="311" customFormat="false" ht="15.75" hidden="false" customHeight="false" outlineLevel="0" collapsed="false">
      <c r="B311" s="18"/>
      <c r="C311" s="18"/>
    </row>
    <row r="312" customFormat="false" ht="15.75" hidden="false" customHeight="false" outlineLevel="0" collapsed="false">
      <c r="B312" s="18"/>
      <c r="C312" s="18"/>
    </row>
    <row r="313" customFormat="false" ht="15.75" hidden="false" customHeight="false" outlineLevel="0" collapsed="false">
      <c r="B313" s="18"/>
      <c r="C313" s="18"/>
    </row>
    <row r="314" customFormat="false" ht="15.75" hidden="false" customHeight="false" outlineLevel="0" collapsed="false">
      <c r="B314" s="18"/>
      <c r="C314" s="18"/>
    </row>
    <row r="315" customFormat="false" ht="15.75" hidden="false" customHeight="false" outlineLevel="0" collapsed="false">
      <c r="B315" s="18"/>
      <c r="C315" s="18"/>
    </row>
    <row r="316" customFormat="false" ht="15.75" hidden="false" customHeight="false" outlineLevel="0" collapsed="false">
      <c r="B316" s="18"/>
      <c r="C316" s="18"/>
    </row>
    <row r="317" customFormat="false" ht="15.75" hidden="false" customHeight="false" outlineLevel="0" collapsed="false">
      <c r="B317" s="18"/>
      <c r="C317" s="18"/>
    </row>
    <row r="318" customFormat="false" ht="15.75" hidden="false" customHeight="false" outlineLevel="0" collapsed="false">
      <c r="B318" s="18"/>
      <c r="C318" s="18"/>
    </row>
    <row r="319" customFormat="false" ht="15.75" hidden="false" customHeight="false" outlineLevel="0" collapsed="false">
      <c r="B319" s="18"/>
      <c r="C319" s="18"/>
    </row>
    <row r="320" customFormat="false" ht="15.75" hidden="false" customHeight="false" outlineLevel="0" collapsed="false">
      <c r="B320" s="18"/>
      <c r="C320" s="18"/>
    </row>
    <row r="321" customFormat="false" ht="15.75" hidden="false" customHeight="false" outlineLevel="0" collapsed="false">
      <c r="B321" s="18"/>
      <c r="C321" s="18"/>
    </row>
    <row r="322" customFormat="false" ht="15.75" hidden="false" customHeight="false" outlineLevel="0" collapsed="false">
      <c r="B322" s="18"/>
      <c r="C322" s="18"/>
    </row>
    <row r="323" customFormat="false" ht="15.75" hidden="false" customHeight="false" outlineLevel="0" collapsed="false">
      <c r="B323" s="18"/>
      <c r="C323" s="18"/>
    </row>
    <row r="324" customFormat="false" ht="15.75" hidden="false" customHeight="false" outlineLevel="0" collapsed="false">
      <c r="B324" s="18"/>
      <c r="C324" s="18"/>
    </row>
    <row r="325" customFormat="false" ht="15.75" hidden="false" customHeight="false" outlineLevel="0" collapsed="false">
      <c r="B325" s="18"/>
      <c r="C325" s="18"/>
    </row>
    <row r="326" customFormat="false" ht="15.75" hidden="false" customHeight="false" outlineLevel="0" collapsed="false">
      <c r="B326" s="18"/>
      <c r="C326" s="18"/>
    </row>
    <row r="327" customFormat="false" ht="15.75" hidden="false" customHeight="false" outlineLevel="0" collapsed="false">
      <c r="B327" s="18"/>
      <c r="C327" s="18"/>
    </row>
    <row r="328" customFormat="false" ht="15.75" hidden="false" customHeight="false" outlineLevel="0" collapsed="false">
      <c r="B328" s="18"/>
      <c r="C328" s="18"/>
    </row>
    <row r="329" customFormat="false" ht="15.75" hidden="false" customHeight="false" outlineLevel="0" collapsed="false">
      <c r="B329" s="18"/>
      <c r="C329" s="18"/>
    </row>
    <row r="330" customFormat="false" ht="15.75" hidden="false" customHeight="false" outlineLevel="0" collapsed="false">
      <c r="B330" s="18"/>
      <c r="C330" s="18"/>
    </row>
    <row r="331" customFormat="false" ht="15.75" hidden="false" customHeight="false" outlineLevel="0" collapsed="false">
      <c r="B331" s="18"/>
      <c r="C331" s="18"/>
    </row>
    <row r="332" customFormat="false" ht="15.75" hidden="false" customHeight="false" outlineLevel="0" collapsed="false">
      <c r="B332" s="18"/>
      <c r="C332" s="18"/>
    </row>
    <row r="333" customFormat="false" ht="15.75" hidden="false" customHeight="false" outlineLevel="0" collapsed="false">
      <c r="B333" s="18"/>
      <c r="C333" s="18"/>
    </row>
    <row r="334" customFormat="false" ht="15.75" hidden="false" customHeight="false" outlineLevel="0" collapsed="false">
      <c r="B334" s="18"/>
      <c r="C334" s="18"/>
    </row>
    <row r="335" customFormat="false" ht="15.75" hidden="false" customHeight="false" outlineLevel="0" collapsed="false">
      <c r="B335" s="18"/>
      <c r="C335" s="18"/>
    </row>
    <row r="336" customFormat="false" ht="15.75" hidden="false" customHeight="false" outlineLevel="0" collapsed="false">
      <c r="B336" s="18"/>
      <c r="C336" s="18"/>
    </row>
    <row r="337" customFormat="false" ht="15.75" hidden="false" customHeight="false" outlineLevel="0" collapsed="false">
      <c r="B337" s="18"/>
      <c r="C337" s="18"/>
    </row>
    <row r="338" customFormat="false" ht="15.75" hidden="false" customHeight="false" outlineLevel="0" collapsed="false">
      <c r="B338" s="18"/>
      <c r="C338" s="18"/>
    </row>
    <row r="339" customFormat="false" ht="15.75" hidden="false" customHeight="false" outlineLevel="0" collapsed="false">
      <c r="B339" s="18"/>
      <c r="C339" s="18"/>
    </row>
    <row r="340" customFormat="false" ht="15.75" hidden="false" customHeight="false" outlineLevel="0" collapsed="false">
      <c r="B340" s="18"/>
      <c r="C340" s="18"/>
    </row>
    <row r="341" customFormat="false" ht="15.75" hidden="false" customHeight="false" outlineLevel="0" collapsed="false">
      <c r="B341" s="18"/>
      <c r="C341" s="18"/>
    </row>
    <row r="342" customFormat="false" ht="15.75" hidden="false" customHeight="false" outlineLevel="0" collapsed="false">
      <c r="B342" s="18"/>
      <c r="C342" s="18"/>
    </row>
    <row r="343" customFormat="false" ht="15.75" hidden="false" customHeight="false" outlineLevel="0" collapsed="false">
      <c r="B343" s="18"/>
      <c r="C343" s="18"/>
    </row>
    <row r="344" customFormat="false" ht="15.75" hidden="false" customHeight="false" outlineLevel="0" collapsed="false">
      <c r="B344" s="18"/>
      <c r="C344" s="18"/>
    </row>
    <row r="345" customFormat="false" ht="15.75" hidden="false" customHeight="false" outlineLevel="0" collapsed="false">
      <c r="B345" s="18"/>
      <c r="C345" s="18"/>
    </row>
    <row r="346" customFormat="false" ht="15.75" hidden="false" customHeight="false" outlineLevel="0" collapsed="false">
      <c r="B346" s="18"/>
      <c r="C346" s="18"/>
    </row>
    <row r="347" customFormat="false" ht="15.75" hidden="false" customHeight="false" outlineLevel="0" collapsed="false">
      <c r="B347" s="18"/>
      <c r="C347" s="18"/>
    </row>
    <row r="348" customFormat="false" ht="15.75" hidden="false" customHeight="false" outlineLevel="0" collapsed="false">
      <c r="B348" s="18"/>
      <c r="C348" s="18"/>
    </row>
    <row r="349" customFormat="false" ht="15.75" hidden="false" customHeight="false" outlineLevel="0" collapsed="false">
      <c r="B349" s="18"/>
      <c r="C349" s="18"/>
    </row>
    <row r="350" customFormat="false" ht="15.75" hidden="false" customHeight="false" outlineLevel="0" collapsed="false">
      <c r="B350" s="18"/>
      <c r="C350" s="18"/>
    </row>
    <row r="351" customFormat="false" ht="15.75" hidden="false" customHeight="false" outlineLevel="0" collapsed="false">
      <c r="B351" s="18"/>
      <c r="C351" s="18"/>
    </row>
    <row r="352" customFormat="false" ht="15.75" hidden="false" customHeight="false" outlineLevel="0" collapsed="false">
      <c r="B352" s="18"/>
      <c r="C352" s="18"/>
    </row>
    <row r="353" customFormat="false" ht="15.75" hidden="false" customHeight="false" outlineLevel="0" collapsed="false">
      <c r="B353" s="18"/>
      <c r="C353" s="18"/>
    </row>
    <row r="354" customFormat="false" ht="15.75" hidden="false" customHeight="false" outlineLevel="0" collapsed="false">
      <c r="B354" s="18"/>
      <c r="C354" s="18"/>
    </row>
    <row r="355" customFormat="false" ht="15.75" hidden="false" customHeight="false" outlineLevel="0" collapsed="false">
      <c r="B355" s="18"/>
      <c r="C355" s="18"/>
    </row>
    <row r="356" customFormat="false" ht="15.75" hidden="false" customHeight="false" outlineLevel="0" collapsed="false">
      <c r="B356" s="18"/>
      <c r="C356" s="18"/>
    </row>
    <row r="357" customFormat="false" ht="15.75" hidden="false" customHeight="false" outlineLevel="0" collapsed="false">
      <c r="B357" s="18"/>
      <c r="C357" s="18"/>
    </row>
    <row r="358" customFormat="false" ht="15.75" hidden="false" customHeight="false" outlineLevel="0" collapsed="false">
      <c r="B358" s="18"/>
      <c r="C358" s="18"/>
    </row>
    <row r="359" customFormat="false" ht="15.75" hidden="false" customHeight="false" outlineLevel="0" collapsed="false">
      <c r="B359" s="18"/>
      <c r="C359" s="18"/>
    </row>
    <row r="360" customFormat="false" ht="15.75" hidden="false" customHeight="false" outlineLevel="0" collapsed="false">
      <c r="B360" s="18"/>
      <c r="C360" s="18"/>
    </row>
    <row r="361" customFormat="false" ht="15.75" hidden="false" customHeight="false" outlineLevel="0" collapsed="false">
      <c r="B361" s="18"/>
      <c r="C361" s="18"/>
    </row>
    <row r="362" customFormat="false" ht="15.75" hidden="false" customHeight="false" outlineLevel="0" collapsed="false">
      <c r="B362" s="18"/>
      <c r="C362" s="18"/>
    </row>
    <row r="363" customFormat="false" ht="15.75" hidden="false" customHeight="false" outlineLevel="0" collapsed="false">
      <c r="B363" s="18"/>
      <c r="C363" s="18"/>
    </row>
    <row r="364" customFormat="false" ht="15.75" hidden="false" customHeight="false" outlineLevel="0" collapsed="false">
      <c r="B364" s="18"/>
      <c r="C364" s="18"/>
    </row>
    <row r="365" customFormat="false" ht="15.75" hidden="false" customHeight="false" outlineLevel="0" collapsed="false">
      <c r="B365" s="18"/>
      <c r="C365" s="18"/>
    </row>
    <row r="366" customFormat="false" ht="15.75" hidden="false" customHeight="false" outlineLevel="0" collapsed="false">
      <c r="B366" s="18"/>
      <c r="C366" s="18"/>
    </row>
    <row r="367" customFormat="false" ht="15.75" hidden="false" customHeight="false" outlineLevel="0" collapsed="false">
      <c r="B367" s="18"/>
      <c r="C367" s="18"/>
    </row>
    <row r="368" customFormat="false" ht="15.75" hidden="false" customHeight="false" outlineLevel="0" collapsed="false">
      <c r="B368" s="18"/>
      <c r="C368" s="18"/>
    </row>
    <row r="369" customFormat="false" ht="15.75" hidden="false" customHeight="false" outlineLevel="0" collapsed="false">
      <c r="B369" s="18"/>
      <c r="C369" s="18"/>
    </row>
    <row r="370" customFormat="false" ht="15.75" hidden="false" customHeight="false" outlineLevel="0" collapsed="false">
      <c r="B370" s="18"/>
      <c r="C370" s="18"/>
    </row>
    <row r="371" customFormat="false" ht="15.75" hidden="false" customHeight="false" outlineLevel="0" collapsed="false">
      <c r="B371" s="18"/>
      <c r="C371" s="18"/>
    </row>
    <row r="372" customFormat="false" ht="15.75" hidden="false" customHeight="false" outlineLevel="0" collapsed="false">
      <c r="B372" s="18"/>
      <c r="C372" s="18"/>
    </row>
    <row r="373" customFormat="false" ht="15.75" hidden="false" customHeight="false" outlineLevel="0" collapsed="false">
      <c r="B373" s="18"/>
      <c r="C373" s="18"/>
    </row>
    <row r="374" customFormat="false" ht="15.75" hidden="false" customHeight="false" outlineLevel="0" collapsed="false">
      <c r="B374" s="18"/>
      <c r="C374" s="18"/>
    </row>
    <row r="375" customFormat="false" ht="15.75" hidden="false" customHeight="false" outlineLevel="0" collapsed="false">
      <c r="B375" s="18"/>
      <c r="C375" s="18"/>
    </row>
    <row r="376" customFormat="false" ht="15.75" hidden="false" customHeight="false" outlineLevel="0" collapsed="false">
      <c r="B376" s="18"/>
      <c r="C376" s="18"/>
    </row>
    <row r="377" customFormat="false" ht="15.75" hidden="false" customHeight="false" outlineLevel="0" collapsed="false">
      <c r="B377" s="18"/>
      <c r="C377" s="18"/>
    </row>
    <row r="378" customFormat="false" ht="15.75" hidden="false" customHeight="false" outlineLevel="0" collapsed="false">
      <c r="B378" s="18"/>
      <c r="C378" s="18"/>
    </row>
    <row r="379" customFormat="false" ht="15.75" hidden="false" customHeight="false" outlineLevel="0" collapsed="false">
      <c r="B379" s="18"/>
      <c r="C379" s="18"/>
    </row>
    <row r="380" customFormat="false" ht="15.75" hidden="false" customHeight="false" outlineLevel="0" collapsed="false">
      <c r="B380" s="18"/>
      <c r="C380" s="18"/>
    </row>
    <row r="381" customFormat="false" ht="15.75" hidden="false" customHeight="false" outlineLevel="0" collapsed="false">
      <c r="B381" s="18"/>
      <c r="C381" s="18"/>
    </row>
    <row r="382" customFormat="false" ht="15.75" hidden="false" customHeight="false" outlineLevel="0" collapsed="false">
      <c r="B382" s="18"/>
      <c r="C382" s="18"/>
    </row>
    <row r="383" customFormat="false" ht="15.75" hidden="false" customHeight="false" outlineLevel="0" collapsed="false">
      <c r="B383" s="18"/>
      <c r="C383" s="18"/>
    </row>
    <row r="384" customFormat="false" ht="15.75" hidden="false" customHeight="false" outlineLevel="0" collapsed="false">
      <c r="B384" s="18"/>
      <c r="C384" s="18"/>
    </row>
    <row r="385" customFormat="false" ht="15.75" hidden="false" customHeight="false" outlineLevel="0" collapsed="false">
      <c r="B385" s="18"/>
      <c r="C385" s="18"/>
    </row>
    <row r="386" customFormat="false" ht="15.75" hidden="false" customHeight="false" outlineLevel="0" collapsed="false">
      <c r="B386" s="18"/>
      <c r="C386" s="18"/>
    </row>
    <row r="387" customFormat="false" ht="15.75" hidden="false" customHeight="false" outlineLevel="0" collapsed="false">
      <c r="B387" s="18"/>
      <c r="C387" s="18"/>
    </row>
    <row r="388" customFormat="false" ht="15.75" hidden="false" customHeight="false" outlineLevel="0" collapsed="false">
      <c r="B388" s="18"/>
      <c r="C388" s="18"/>
    </row>
    <row r="389" customFormat="false" ht="15.75" hidden="false" customHeight="false" outlineLevel="0" collapsed="false">
      <c r="B389" s="18"/>
      <c r="C389" s="18"/>
    </row>
    <row r="390" customFormat="false" ht="15.75" hidden="false" customHeight="false" outlineLevel="0" collapsed="false">
      <c r="B390" s="18"/>
      <c r="C390" s="18"/>
    </row>
    <row r="391" customFormat="false" ht="15.75" hidden="false" customHeight="false" outlineLevel="0" collapsed="false">
      <c r="B391" s="18"/>
      <c r="C391" s="18"/>
    </row>
    <row r="392" customFormat="false" ht="15.75" hidden="false" customHeight="false" outlineLevel="0" collapsed="false">
      <c r="B392" s="18"/>
      <c r="C392" s="18"/>
    </row>
    <row r="393" customFormat="false" ht="15.75" hidden="false" customHeight="false" outlineLevel="0" collapsed="false">
      <c r="B393" s="18"/>
      <c r="C393" s="18"/>
    </row>
    <row r="394" customFormat="false" ht="15.75" hidden="false" customHeight="false" outlineLevel="0" collapsed="false">
      <c r="B394" s="18"/>
      <c r="C394" s="18"/>
    </row>
    <row r="395" customFormat="false" ht="15.75" hidden="false" customHeight="false" outlineLevel="0" collapsed="false">
      <c r="B395" s="18"/>
      <c r="C395" s="18"/>
    </row>
    <row r="396" customFormat="false" ht="15.75" hidden="false" customHeight="false" outlineLevel="0" collapsed="false">
      <c r="B396" s="18"/>
      <c r="C396" s="18"/>
    </row>
    <row r="397" customFormat="false" ht="15.75" hidden="false" customHeight="false" outlineLevel="0" collapsed="false">
      <c r="B397" s="18"/>
      <c r="C397" s="18"/>
    </row>
    <row r="398" customFormat="false" ht="15.75" hidden="false" customHeight="false" outlineLevel="0" collapsed="false">
      <c r="B398" s="18"/>
      <c r="C398" s="18"/>
    </row>
    <row r="399" customFormat="false" ht="15.75" hidden="false" customHeight="false" outlineLevel="0" collapsed="false">
      <c r="B399" s="18"/>
      <c r="C399" s="18"/>
    </row>
    <row r="400" customFormat="false" ht="15.75" hidden="false" customHeight="false" outlineLevel="0" collapsed="false">
      <c r="B400" s="18"/>
      <c r="C400" s="18"/>
    </row>
    <row r="401" customFormat="false" ht="15.75" hidden="false" customHeight="false" outlineLevel="0" collapsed="false">
      <c r="B401" s="18"/>
      <c r="C401" s="18"/>
    </row>
    <row r="402" customFormat="false" ht="15.75" hidden="false" customHeight="false" outlineLevel="0" collapsed="false">
      <c r="B402" s="18"/>
      <c r="C402" s="18"/>
    </row>
    <row r="403" customFormat="false" ht="15.75" hidden="false" customHeight="false" outlineLevel="0" collapsed="false">
      <c r="B403" s="18"/>
      <c r="C403" s="18"/>
    </row>
    <row r="404" customFormat="false" ht="15.75" hidden="false" customHeight="false" outlineLevel="0" collapsed="false">
      <c r="B404" s="18"/>
      <c r="C404" s="18"/>
    </row>
    <row r="405" customFormat="false" ht="15.75" hidden="false" customHeight="false" outlineLevel="0" collapsed="false">
      <c r="B405" s="18"/>
      <c r="C405" s="18"/>
    </row>
    <row r="406" customFormat="false" ht="15.75" hidden="false" customHeight="false" outlineLevel="0" collapsed="false">
      <c r="B406" s="18"/>
      <c r="C406" s="18"/>
    </row>
    <row r="407" customFormat="false" ht="15.75" hidden="false" customHeight="false" outlineLevel="0" collapsed="false">
      <c r="B407" s="18"/>
      <c r="C407" s="18"/>
    </row>
    <row r="408" customFormat="false" ht="15.75" hidden="false" customHeight="false" outlineLevel="0" collapsed="false">
      <c r="B408" s="18"/>
      <c r="C408" s="18"/>
    </row>
    <row r="409" customFormat="false" ht="15.75" hidden="false" customHeight="false" outlineLevel="0" collapsed="false">
      <c r="B409" s="18"/>
      <c r="C409" s="18"/>
    </row>
    <row r="410" customFormat="false" ht="15.75" hidden="false" customHeight="false" outlineLevel="0" collapsed="false">
      <c r="B410" s="18"/>
      <c r="C410" s="18"/>
    </row>
    <row r="411" customFormat="false" ht="15.75" hidden="false" customHeight="false" outlineLevel="0" collapsed="false">
      <c r="B411" s="18"/>
      <c r="C411" s="18"/>
    </row>
    <row r="412" customFormat="false" ht="15.75" hidden="false" customHeight="false" outlineLevel="0" collapsed="false">
      <c r="B412" s="18"/>
      <c r="C412" s="18"/>
    </row>
    <row r="413" customFormat="false" ht="15.75" hidden="false" customHeight="false" outlineLevel="0" collapsed="false">
      <c r="B413" s="18"/>
      <c r="C413" s="18"/>
    </row>
    <row r="414" customFormat="false" ht="15.75" hidden="false" customHeight="false" outlineLevel="0" collapsed="false">
      <c r="B414" s="18"/>
      <c r="C414" s="18"/>
    </row>
    <row r="415" customFormat="false" ht="15.75" hidden="false" customHeight="false" outlineLevel="0" collapsed="false">
      <c r="B415" s="18"/>
      <c r="C415" s="18"/>
    </row>
    <row r="416" customFormat="false" ht="15.75" hidden="false" customHeight="false" outlineLevel="0" collapsed="false">
      <c r="B416" s="18"/>
      <c r="C416" s="18"/>
    </row>
    <row r="417" customFormat="false" ht="15.75" hidden="false" customHeight="false" outlineLevel="0" collapsed="false">
      <c r="B417" s="18"/>
      <c r="C417" s="18"/>
    </row>
    <row r="418" customFormat="false" ht="15.75" hidden="false" customHeight="false" outlineLevel="0" collapsed="false">
      <c r="B418" s="18"/>
      <c r="C418" s="18"/>
    </row>
    <row r="419" customFormat="false" ht="15.75" hidden="false" customHeight="false" outlineLevel="0" collapsed="false">
      <c r="B419" s="18"/>
      <c r="C419" s="18"/>
    </row>
    <row r="420" customFormat="false" ht="15.75" hidden="false" customHeight="false" outlineLevel="0" collapsed="false">
      <c r="B420" s="18"/>
      <c r="C420" s="18"/>
    </row>
    <row r="421" customFormat="false" ht="15.75" hidden="false" customHeight="false" outlineLevel="0" collapsed="false">
      <c r="B421" s="18"/>
      <c r="C421" s="18"/>
    </row>
    <row r="422" customFormat="false" ht="15.75" hidden="false" customHeight="false" outlineLevel="0" collapsed="false">
      <c r="B422" s="18"/>
      <c r="C422" s="18"/>
    </row>
    <row r="423" customFormat="false" ht="15.75" hidden="false" customHeight="false" outlineLevel="0" collapsed="false">
      <c r="B423" s="18"/>
      <c r="C423" s="18"/>
    </row>
    <row r="424" customFormat="false" ht="15.75" hidden="false" customHeight="false" outlineLevel="0" collapsed="false">
      <c r="B424" s="18"/>
      <c r="C424" s="18"/>
    </row>
    <row r="425" customFormat="false" ht="15.75" hidden="false" customHeight="false" outlineLevel="0" collapsed="false">
      <c r="B425" s="18"/>
      <c r="C425" s="18"/>
    </row>
    <row r="426" customFormat="false" ht="15.75" hidden="false" customHeight="false" outlineLevel="0" collapsed="false">
      <c r="B426" s="18"/>
      <c r="C426" s="18"/>
    </row>
    <row r="427" customFormat="false" ht="15.75" hidden="false" customHeight="false" outlineLevel="0" collapsed="false">
      <c r="B427" s="18"/>
      <c r="C427" s="18"/>
    </row>
    <row r="428" customFormat="false" ht="15.75" hidden="false" customHeight="false" outlineLevel="0" collapsed="false">
      <c r="B428" s="18"/>
      <c r="C428" s="18"/>
    </row>
    <row r="429" customFormat="false" ht="15.75" hidden="false" customHeight="false" outlineLevel="0" collapsed="false">
      <c r="B429" s="18"/>
      <c r="C429" s="18"/>
    </row>
    <row r="430" customFormat="false" ht="15.75" hidden="false" customHeight="false" outlineLevel="0" collapsed="false">
      <c r="B430" s="18"/>
      <c r="C430" s="18"/>
    </row>
    <row r="431" customFormat="false" ht="15.75" hidden="false" customHeight="false" outlineLevel="0" collapsed="false">
      <c r="B431" s="18"/>
      <c r="C431" s="18"/>
    </row>
    <row r="432" customFormat="false" ht="15.75" hidden="false" customHeight="false" outlineLevel="0" collapsed="false">
      <c r="B432" s="18"/>
      <c r="C432" s="18"/>
    </row>
    <row r="433" customFormat="false" ht="15.75" hidden="false" customHeight="false" outlineLevel="0" collapsed="false">
      <c r="B433" s="18"/>
      <c r="C433" s="18"/>
    </row>
    <row r="434" customFormat="false" ht="15.75" hidden="false" customHeight="false" outlineLevel="0" collapsed="false">
      <c r="B434" s="18"/>
      <c r="C434" s="18"/>
    </row>
    <row r="435" customFormat="false" ht="15.75" hidden="false" customHeight="false" outlineLevel="0" collapsed="false">
      <c r="B435" s="18"/>
      <c r="C435" s="18"/>
    </row>
    <row r="436" customFormat="false" ht="15.75" hidden="false" customHeight="false" outlineLevel="0" collapsed="false">
      <c r="B436" s="18"/>
      <c r="C436" s="18"/>
    </row>
    <row r="437" customFormat="false" ht="15.75" hidden="false" customHeight="false" outlineLevel="0" collapsed="false">
      <c r="B437" s="18"/>
      <c r="C437" s="18"/>
    </row>
    <row r="438" customFormat="false" ht="15.75" hidden="false" customHeight="false" outlineLevel="0" collapsed="false">
      <c r="B438" s="18"/>
      <c r="C438" s="18"/>
    </row>
    <row r="439" customFormat="false" ht="15.75" hidden="false" customHeight="false" outlineLevel="0" collapsed="false">
      <c r="B439" s="18"/>
      <c r="C439" s="18"/>
    </row>
    <row r="440" customFormat="false" ht="15.75" hidden="false" customHeight="false" outlineLevel="0" collapsed="false">
      <c r="B440" s="18"/>
      <c r="C440" s="18"/>
    </row>
    <row r="441" customFormat="false" ht="15.75" hidden="false" customHeight="false" outlineLevel="0" collapsed="false">
      <c r="B441" s="18"/>
      <c r="C441" s="18"/>
    </row>
    <row r="442" customFormat="false" ht="15.75" hidden="false" customHeight="false" outlineLevel="0" collapsed="false">
      <c r="B442" s="18"/>
      <c r="C442" s="18"/>
    </row>
    <row r="443" customFormat="false" ht="15.75" hidden="false" customHeight="false" outlineLevel="0" collapsed="false">
      <c r="B443" s="18"/>
      <c r="C443" s="18"/>
    </row>
    <row r="444" customFormat="false" ht="15.75" hidden="false" customHeight="false" outlineLevel="0" collapsed="false">
      <c r="B444" s="18"/>
      <c r="C444" s="18"/>
    </row>
    <row r="445" customFormat="false" ht="15.75" hidden="false" customHeight="false" outlineLevel="0" collapsed="false">
      <c r="B445" s="18"/>
      <c r="C445" s="18"/>
    </row>
    <row r="446" customFormat="false" ht="15.75" hidden="false" customHeight="false" outlineLevel="0" collapsed="false">
      <c r="B446" s="18"/>
      <c r="C446" s="18"/>
    </row>
    <row r="447" customFormat="false" ht="15.75" hidden="false" customHeight="false" outlineLevel="0" collapsed="false">
      <c r="B447" s="18"/>
      <c r="C447" s="18"/>
    </row>
    <row r="448" customFormat="false" ht="15.75" hidden="false" customHeight="false" outlineLevel="0" collapsed="false">
      <c r="B448" s="18"/>
      <c r="C448" s="18"/>
    </row>
    <row r="449" customFormat="false" ht="15.75" hidden="false" customHeight="false" outlineLevel="0" collapsed="false">
      <c r="B449" s="18"/>
      <c r="C449" s="18"/>
    </row>
    <row r="450" customFormat="false" ht="15.75" hidden="false" customHeight="false" outlineLevel="0" collapsed="false">
      <c r="B450" s="18"/>
      <c r="C450" s="18"/>
    </row>
    <row r="451" customFormat="false" ht="15.75" hidden="false" customHeight="false" outlineLevel="0" collapsed="false">
      <c r="B451" s="18"/>
      <c r="C451" s="18"/>
    </row>
    <row r="452" customFormat="false" ht="15.75" hidden="false" customHeight="false" outlineLevel="0" collapsed="false">
      <c r="B452" s="18"/>
      <c r="C452" s="18"/>
    </row>
    <row r="453" customFormat="false" ht="15.75" hidden="false" customHeight="false" outlineLevel="0" collapsed="false">
      <c r="B453" s="18"/>
      <c r="C453" s="18"/>
    </row>
    <row r="454" customFormat="false" ht="15.75" hidden="false" customHeight="false" outlineLevel="0" collapsed="false">
      <c r="B454" s="18"/>
      <c r="C454" s="18"/>
    </row>
    <row r="455" customFormat="false" ht="15.75" hidden="false" customHeight="false" outlineLevel="0" collapsed="false">
      <c r="B455" s="18"/>
      <c r="C455" s="18"/>
    </row>
    <row r="456" customFormat="false" ht="15.75" hidden="false" customHeight="false" outlineLevel="0" collapsed="false">
      <c r="B456" s="18"/>
      <c r="C456" s="18"/>
    </row>
    <row r="457" customFormat="false" ht="15.75" hidden="false" customHeight="false" outlineLevel="0" collapsed="false">
      <c r="B457" s="18"/>
      <c r="C457" s="18"/>
    </row>
    <row r="458" customFormat="false" ht="15.75" hidden="false" customHeight="false" outlineLevel="0" collapsed="false">
      <c r="B458" s="18"/>
      <c r="C458" s="18"/>
    </row>
    <row r="459" customFormat="false" ht="15.75" hidden="false" customHeight="false" outlineLevel="0" collapsed="false">
      <c r="B459" s="18"/>
      <c r="C459" s="18"/>
    </row>
    <row r="460" customFormat="false" ht="15.75" hidden="false" customHeight="false" outlineLevel="0" collapsed="false">
      <c r="B460" s="18"/>
      <c r="C460" s="18"/>
    </row>
    <row r="461" customFormat="false" ht="15.75" hidden="false" customHeight="false" outlineLevel="0" collapsed="false">
      <c r="B461" s="18"/>
      <c r="C461" s="18"/>
    </row>
    <row r="462" customFormat="false" ht="15.75" hidden="false" customHeight="false" outlineLevel="0" collapsed="false">
      <c r="B462" s="18"/>
      <c r="C462" s="18"/>
    </row>
    <row r="463" customFormat="false" ht="15.75" hidden="false" customHeight="false" outlineLevel="0" collapsed="false">
      <c r="B463" s="18"/>
      <c r="C463" s="18"/>
    </row>
    <row r="464" customFormat="false" ht="15.75" hidden="false" customHeight="false" outlineLevel="0" collapsed="false">
      <c r="B464" s="18"/>
      <c r="C464" s="18"/>
    </row>
    <row r="465" customFormat="false" ht="15.75" hidden="false" customHeight="false" outlineLevel="0" collapsed="false">
      <c r="B465" s="18"/>
      <c r="C465" s="18"/>
    </row>
    <row r="466" customFormat="false" ht="15.75" hidden="false" customHeight="false" outlineLevel="0" collapsed="false">
      <c r="B466" s="18"/>
      <c r="C466" s="18"/>
    </row>
    <row r="467" customFormat="false" ht="15.75" hidden="false" customHeight="false" outlineLevel="0" collapsed="false">
      <c r="B467" s="18"/>
      <c r="C467" s="18"/>
    </row>
    <row r="468" customFormat="false" ht="15.75" hidden="false" customHeight="false" outlineLevel="0" collapsed="false">
      <c r="B468" s="18"/>
      <c r="C468" s="18"/>
    </row>
    <row r="469" customFormat="false" ht="15.75" hidden="false" customHeight="false" outlineLevel="0" collapsed="false">
      <c r="B469" s="18"/>
      <c r="C469" s="18"/>
    </row>
    <row r="470" customFormat="false" ht="15.75" hidden="false" customHeight="false" outlineLevel="0" collapsed="false">
      <c r="B470" s="18"/>
      <c r="C470" s="18"/>
    </row>
    <row r="471" customFormat="false" ht="15.75" hidden="false" customHeight="false" outlineLevel="0" collapsed="false">
      <c r="B471" s="18"/>
      <c r="C471" s="18"/>
    </row>
    <row r="472" customFormat="false" ht="15.75" hidden="false" customHeight="false" outlineLevel="0" collapsed="false">
      <c r="B472" s="18"/>
      <c r="C472" s="18"/>
    </row>
    <row r="473" customFormat="false" ht="15.75" hidden="false" customHeight="false" outlineLevel="0" collapsed="false">
      <c r="B473" s="18"/>
      <c r="C473" s="18"/>
    </row>
    <row r="474" customFormat="false" ht="15.75" hidden="false" customHeight="false" outlineLevel="0" collapsed="false">
      <c r="B474" s="18"/>
      <c r="C474" s="18"/>
    </row>
    <row r="475" customFormat="false" ht="15.75" hidden="false" customHeight="false" outlineLevel="0" collapsed="false">
      <c r="B475" s="18"/>
      <c r="C475" s="18"/>
    </row>
    <row r="476" customFormat="false" ht="15.75" hidden="false" customHeight="false" outlineLevel="0" collapsed="false">
      <c r="B476" s="18"/>
      <c r="C476" s="18"/>
    </row>
    <row r="477" customFormat="false" ht="15.75" hidden="false" customHeight="false" outlineLevel="0" collapsed="false">
      <c r="B477" s="18"/>
      <c r="C477" s="18"/>
    </row>
    <row r="478" customFormat="false" ht="15.75" hidden="false" customHeight="false" outlineLevel="0" collapsed="false">
      <c r="B478" s="18"/>
      <c r="C478" s="18"/>
    </row>
    <row r="479" customFormat="false" ht="15.75" hidden="false" customHeight="false" outlineLevel="0" collapsed="false">
      <c r="B479" s="18"/>
      <c r="C479" s="18"/>
    </row>
    <row r="480" customFormat="false" ht="15.75" hidden="false" customHeight="false" outlineLevel="0" collapsed="false">
      <c r="B480" s="18"/>
      <c r="C480" s="18"/>
    </row>
    <row r="481" customFormat="false" ht="15.75" hidden="false" customHeight="false" outlineLevel="0" collapsed="false">
      <c r="B481" s="18"/>
      <c r="C481" s="18"/>
    </row>
    <row r="482" customFormat="false" ht="15.75" hidden="false" customHeight="false" outlineLevel="0" collapsed="false">
      <c r="B482" s="18"/>
      <c r="C482" s="18"/>
    </row>
    <row r="483" customFormat="false" ht="15.75" hidden="false" customHeight="false" outlineLevel="0" collapsed="false">
      <c r="B483" s="18"/>
      <c r="C483" s="18"/>
    </row>
    <row r="484" customFormat="false" ht="15.75" hidden="false" customHeight="false" outlineLevel="0" collapsed="false">
      <c r="B484" s="18"/>
      <c r="C484" s="18"/>
    </row>
    <row r="485" customFormat="false" ht="15.75" hidden="false" customHeight="false" outlineLevel="0" collapsed="false">
      <c r="B485" s="18"/>
      <c r="C485" s="18"/>
    </row>
    <row r="486" customFormat="false" ht="15.75" hidden="false" customHeight="false" outlineLevel="0" collapsed="false">
      <c r="B486" s="18"/>
      <c r="C486" s="18"/>
    </row>
    <row r="487" customFormat="false" ht="15.75" hidden="false" customHeight="false" outlineLevel="0" collapsed="false">
      <c r="B487" s="18"/>
      <c r="C487" s="18"/>
    </row>
    <row r="488" customFormat="false" ht="15.75" hidden="false" customHeight="false" outlineLevel="0" collapsed="false">
      <c r="B488" s="18"/>
      <c r="C488" s="18"/>
    </row>
    <row r="489" customFormat="false" ht="15.75" hidden="false" customHeight="false" outlineLevel="0" collapsed="false">
      <c r="B489" s="18"/>
      <c r="C489" s="18"/>
    </row>
    <row r="490" customFormat="false" ht="15.75" hidden="false" customHeight="false" outlineLevel="0" collapsed="false">
      <c r="B490" s="18"/>
      <c r="C490" s="18"/>
    </row>
    <row r="491" customFormat="false" ht="15.75" hidden="false" customHeight="false" outlineLevel="0" collapsed="false">
      <c r="B491" s="18"/>
      <c r="C491" s="18"/>
    </row>
    <row r="492" customFormat="false" ht="15.75" hidden="false" customHeight="false" outlineLevel="0" collapsed="false">
      <c r="B492" s="18"/>
      <c r="C492" s="18"/>
    </row>
    <row r="493" customFormat="false" ht="15.75" hidden="false" customHeight="false" outlineLevel="0" collapsed="false">
      <c r="B493" s="18"/>
      <c r="C493" s="18"/>
    </row>
    <row r="494" customFormat="false" ht="15.75" hidden="false" customHeight="false" outlineLevel="0" collapsed="false">
      <c r="B494" s="18"/>
      <c r="C494" s="18"/>
    </row>
    <row r="495" customFormat="false" ht="15.75" hidden="false" customHeight="false" outlineLevel="0" collapsed="false">
      <c r="B495" s="18"/>
      <c r="C495" s="18"/>
    </row>
    <row r="496" customFormat="false" ht="15.75" hidden="false" customHeight="false" outlineLevel="0" collapsed="false">
      <c r="B496" s="18"/>
      <c r="C496" s="18"/>
    </row>
    <row r="497" customFormat="false" ht="15.75" hidden="false" customHeight="false" outlineLevel="0" collapsed="false">
      <c r="B497" s="18"/>
      <c r="C497" s="18"/>
    </row>
    <row r="498" customFormat="false" ht="15.75" hidden="false" customHeight="false" outlineLevel="0" collapsed="false">
      <c r="B498" s="18"/>
      <c r="C498" s="18"/>
    </row>
    <row r="499" customFormat="false" ht="15.75" hidden="false" customHeight="false" outlineLevel="0" collapsed="false">
      <c r="B499" s="18"/>
      <c r="C499" s="18"/>
    </row>
    <row r="500" customFormat="false" ht="15.75" hidden="false" customHeight="false" outlineLevel="0" collapsed="false">
      <c r="B500" s="18"/>
      <c r="C500" s="18"/>
    </row>
    <row r="501" customFormat="false" ht="15.75" hidden="false" customHeight="false" outlineLevel="0" collapsed="false">
      <c r="B501" s="18"/>
      <c r="C501" s="18"/>
    </row>
    <row r="502" customFormat="false" ht="15.75" hidden="false" customHeight="false" outlineLevel="0" collapsed="false">
      <c r="B502" s="18"/>
      <c r="C502" s="18"/>
    </row>
    <row r="503" customFormat="false" ht="15.75" hidden="false" customHeight="false" outlineLevel="0" collapsed="false">
      <c r="B503" s="18"/>
      <c r="C503" s="18"/>
    </row>
    <row r="504" customFormat="false" ht="15.75" hidden="false" customHeight="false" outlineLevel="0" collapsed="false">
      <c r="B504" s="18"/>
      <c r="C504" s="18"/>
    </row>
    <row r="505" customFormat="false" ht="15.75" hidden="false" customHeight="false" outlineLevel="0" collapsed="false">
      <c r="B505" s="18"/>
      <c r="C505" s="18"/>
    </row>
    <row r="506" customFormat="false" ht="15.75" hidden="false" customHeight="false" outlineLevel="0" collapsed="false">
      <c r="B506" s="18"/>
      <c r="C506" s="18"/>
    </row>
    <row r="507" customFormat="false" ht="15.75" hidden="false" customHeight="false" outlineLevel="0" collapsed="false">
      <c r="B507" s="18"/>
      <c r="C507" s="18"/>
    </row>
    <row r="508" customFormat="false" ht="15.75" hidden="false" customHeight="false" outlineLevel="0" collapsed="false">
      <c r="B508" s="18"/>
      <c r="C508" s="18"/>
    </row>
    <row r="509" customFormat="false" ht="15.75" hidden="false" customHeight="false" outlineLevel="0" collapsed="false">
      <c r="B509" s="18"/>
      <c r="C509" s="18"/>
    </row>
    <row r="510" customFormat="false" ht="15.75" hidden="false" customHeight="false" outlineLevel="0" collapsed="false">
      <c r="B510" s="18"/>
      <c r="C510" s="18"/>
    </row>
    <row r="511" customFormat="false" ht="15.75" hidden="false" customHeight="false" outlineLevel="0" collapsed="false">
      <c r="B511" s="18"/>
      <c r="C511" s="18"/>
    </row>
    <row r="512" customFormat="false" ht="15.75" hidden="false" customHeight="false" outlineLevel="0" collapsed="false">
      <c r="B512" s="18"/>
      <c r="C512" s="18"/>
    </row>
    <row r="513" customFormat="false" ht="15.75" hidden="false" customHeight="false" outlineLevel="0" collapsed="false">
      <c r="B513" s="18"/>
      <c r="C513" s="18"/>
    </row>
    <row r="514" customFormat="false" ht="15.75" hidden="false" customHeight="false" outlineLevel="0" collapsed="false">
      <c r="B514" s="18"/>
      <c r="C514" s="18"/>
    </row>
    <row r="515" customFormat="false" ht="15.75" hidden="false" customHeight="false" outlineLevel="0" collapsed="false">
      <c r="B515" s="18"/>
      <c r="C515" s="18"/>
    </row>
    <row r="516" customFormat="false" ht="15.75" hidden="false" customHeight="false" outlineLevel="0" collapsed="false">
      <c r="B516" s="18"/>
      <c r="C516" s="18"/>
    </row>
    <row r="517" customFormat="false" ht="15.75" hidden="false" customHeight="false" outlineLevel="0" collapsed="false">
      <c r="B517" s="18"/>
      <c r="C517" s="18"/>
    </row>
    <row r="518" customFormat="false" ht="15.75" hidden="false" customHeight="false" outlineLevel="0" collapsed="false">
      <c r="B518" s="18"/>
      <c r="C518" s="18"/>
    </row>
    <row r="519" customFormat="false" ht="15.75" hidden="false" customHeight="false" outlineLevel="0" collapsed="false">
      <c r="B519" s="18"/>
      <c r="C519" s="18"/>
    </row>
    <row r="520" customFormat="false" ht="15.75" hidden="false" customHeight="false" outlineLevel="0" collapsed="false">
      <c r="B520" s="18"/>
      <c r="C520" s="18"/>
    </row>
    <row r="521" customFormat="false" ht="15.75" hidden="false" customHeight="false" outlineLevel="0" collapsed="false">
      <c r="B521" s="18"/>
      <c r="C521" s="18"/>
    </row>
    <row r="522" customFormat="false" ht="15.75" hidden="false" customHeight="false" outlineLevel="0" collapsed="false">
      <c r="B522" s="18"/>
      <c r="C522" s="18"/>
    </row>
    <row r="523" customFormat="false" ht="15.75" hidden="false" customHeight="false" outlineLevel="0" collapsed="false">
      <c r="B523" s="18"/>
      <c r="C523" s="18"/>
    </row>
    <row r="524" customFormat="false" ht="15.75" hidden="false" customHeight="false" outlineLevel="0" collapsed="false">
      <c r="B524" s="18"/>
      <c r="C524" s="18"/>
    </row>
    <row r="525" customFormat="false" ht="15.75" hidden="false" customHeight="false" outlineLevel="0" collapsed="false">
      <c r="B525" s="18"/>
      <c r="C525" s="18"/>
    </row>
    <row r="526" customFormat="false" ht="15.75" hidden="false" customHeight="false" outlineLevel="0" collapsed="false">
      <c r="B526" s="18"/>
      <c r="C526" s="18"/>
    </row>
    <row r="527" customFormat="false" ht="15.75" hidden="false" customHeight="false" outlineLevel="0" collapsed="false">
      <c r="B527" s="18"/>
      <c r="C527" s="18"/>
    </row>
    <row r="528" customFormat="false" ht="15.75" hidden="false" customHeight="false" outlineLevel="0" collapsed="false">
      <c r="B528" s="18"/>
      <c r="C528" s="18"/>
    </row>
    <row r="529" customFormat="false" ht="15.75" hidden="false" customHeight="false" outlineLevel="0" collapsed="false">
      <c r="B529" s="18"/>
      <c r="C529" s="18"/>
    </row>
    <row r="530" customFormat="false" ht="15.75" hidden="false" customHeight="false" outlineLevel="0" collapsed="false">
      <c r="B530" s="18"/>
      <c r="C530" s="18"/>
    </row>
    <row r="531" customFormat="false" ht="15.75" hidden="false" customHeight="false" outlineLevel="0" collapsed="false">
      <c r="B531" s="18"/>
      <c r="C531" s="18"/>
    </row>
    <row r="532" customFormat="false" ht="15.75" hidden="false" customHeight="false" outlineLevel="0" collapsed="false">
      <c r="B532" s="18"/>
      <c r="C532" s="18"/>
    </row>
    <row r="533" customFormat="false" ht="15.75" hidden="false" customHeight="false" outlineLevel="0" collapsed="false">
      <c r="B533" s="18"/>
      <c r="C533" s="18"/>
    </row>
    <row r="534" customFormat="false" ht="15.75" hidden="false" customHeight="false" outlineLevel="0" collapsed="false">
      <c r="B534" s="18"/>
      <c r="C534" s="18"/>
    </row>
    <row r="535" customFormat="false" ht="15.75" hidden="false" customHeight="false" outlineLevel="0" collapsed="false">
      <c r="B535" s="18"/>
      <c r="C535" s="18"/>
    </row>
    <row r="536" customFormat="false" ht="15.75" hidden="false" customHeight="false" outlineLevel="0" collapsed="false">
      <c r="B536" s="18"/>
      <c r="C536" s="18"/>
    </row>
    <row r="537" customFormat="false" ht="15.75" hidden="false" customHeight="false" outlineLevel="0" collapsed="false">
      <c r="B537" s="18"/>
      <c r="C537" s="18"/>
    </row>
    <row r="538" customFormat="false" ht="15.75" hidden="false" customHeight="false" outlineLevel="0" collapsed="false">
      <c r="B538" s="18"/>
      <c r="C538" s="18"/>
    </row>
    <row r="539" customFormat="false" ht="15.75" hidden="false" customHeight="false" outlineLevel="0" collapsed="false">
      <c r="B539" s="18"/>
      <c r="C539" s="18"/>
    </row>
    <row r="540" customFormat="false" ht="15.75" hidden="false" customHeight="false" outlineLevel="0" collapsed="false">
      <c r="B540" s="18"/>
      <c r="C540" s="18"/>
    </row>
    <row r="541" customFormat="false" ht="15.75" hidden="false" customHeight="false" outlineLevel="0" collapsed="false">
      <c r="B541" s="18"/>
      <c r="C541" s="18"/>
    </row>
    <row r="542" customFormat="false" ht="15.75" hidden="false" customHeight="false" outlineLevel="0" collapsed="false">
      <c r="B542" s="18"/>
      <c r="C542" s="18"/>
    </row>
    <row r="543" customFormat="false" ht="15.75" hidden="false" customHeight="false" outlineLevel="0" collapsed="false">
      <c r="B543" s="18"/>
      <c r="C543" s="18"/>
    </row>
    <row r="544" customFormat="false" ht="15.75" hidden="false" customHeight="false" outlineLevel="0" collapsed="false">
      <c r="B544" s="18"/>
      <c r="C544" s="18"/>
    </row>
    <row r="545" customFormat="false" ht="15.75" hidden="false" customHeight="false" outlineLevel="0" collapsed="false">
      <c r="B545" s="18"/>
      <c r="C545" s="18"/>
    </row>
    <row r="546" customFormat="false" ht="15.75" hidden="false" customHeight="false" outlineLevel="0" collapsed="false">
      <c r="B546" s="18"/>
      <c r="C546" s="18"/>
    </row>
    <row r="547" customFormat="false" ht="15.75" hidden="false" customHeight="false" outlineLevel="0" collapsed="false">
      <c r="B547" s="18"/>
      <c r="C547" s="18"/>
    </row>
    <row r="548" customFormat="false" ht="15.75" hidden="false" customHeight="false" outlineLevel="0" collapsed="false">
      <c r="B548" s="18"/>
      <c r="C548" s="18"/>
    </row>
    <row r="549" customFormat="false" ht="15.75" hidden="false" customHeight="false" outlineLevel="0" collapsed="false">
      <c r="B549" s="18"/>
      <c r="C549" s="18"/>
    </row>
    <row r="550" customFormat="false" ht="15.75" hidden="false" customHeight="false" outlineLevel="0" collapsed="false">
      <c r="B550" s="18"/>
      <c r="C550" s="18"/>
    </row>
    <row r="551" customFormat="false" ht="15.75" hidden="false" customHeight="false" outlineLevel="0" collapsed="false">
      <c r="B551" s="18"/>
      <c r="C551" s="18"/>
    </row>
    <row r="552" customFormat="false" ht="15.75" hidden="false" customHeight="false" outlineLevel="0" collapsed="false">
      <c r="B552" s="18"/>
      <c r="C552" s="18"/>
    </row>
    <row r="553" customFormat="false" ht="15.75" hidden="false" customHeight="false" outlineLevel="0" collapsed="false">
      <c r="B553" s="18"/>
      <c r="C553" s="18"/>
    </row>
    <row r="554" customFormat="false" ht="15.75" hidden="false" customHeight="false" outlineLevel="0" collapsed="false">
      <c r="B554" s="18"/>
      <c r="C554" s="18"/>
    </row>
    <row r="555" customFormat="false" ht="15.75" hidden="false" customHeight="false" outlineLevel="0" collapsed="false">
      <c r="B555" s="18"/>
      <c r="C555" s="18"/>
    </row>
    <row r="556" customFormat="false" ht="15.75" hidden="false" customHeight="false" outlineLevel="0" collapsed="false">
      <c r="B556" s="18"/>
      <c r="C556" s="18"/>
    </row>
    <row r="557" customFormat="false" ht="15.75" hidden="false" customHeight="false" outlineLevel="0" collapsed="false">
      <c r="B557" s="18"/>
      <c r="C557" s="18"/>
    </row>
    <row r="558" customFormat="false" ht="15.75" hidden="false" customHeight="false" outlineLevel="0" collapsed="false">
      <c r="B558" s="18"/>
      <c r="C558" s="18"/>
    </row>
    <row r="559" customFormat="false" ht="15.75" hidden="false" customHeight="false" outlineLevel="0" collapsed="false">
      <c r="B559" s="18"/>
      <c r="C559" s="18"/>
    </row>
    <row r="560" customFormat="false" ht="15.75" hidden="false" customHeight="false" outlineLevel="0" collapsed="false">
      <c r="B560" s="18"/>
      <c r="C560" s="18"/>
    </row>
    <row r="561" customFormat="false" ht="15.75" hidden="false" customHeight="false" outlineLevel="0" collapsed="false">
      <c r="B561" s="18"/>
      <c r="C561" s="18"/>
    </row>
    <row r="562" customFormat="false" ht="15.75" hidden="false" customHeight="false" outlineLevel="0" collapsed="false">
      <c r="B562" s="18"/>
      <c r="C562" s="18"/>
    </row>
    <row r="563" customFormat="false" ht="15.75" hidden="false" customHeight="false" outlineLevel="0" collapsed="false">
      <c r="B563" s="18"/>
      <c r="C563" s="18"/>
    </row>
    <row r="564" customFormat="false" ht="15.75" hidden="false" customHeight="false" outlineLevel="0" collapsed="false">
      <c r="B564" s="18"/>
      <c r="C564" s="18"/>
    </row>
    <row r="565" customFormat="false" ht="15.75" hidden="false" customHeight="false" outlineLevel="0" collapsed="false">
      <c r="B565" s="18"/>
      <c r="C565" s="18"/>
    </row>
    <row r="566" customFormat="false" ht="15.75" hidden="false" customHeight="false" outlineLevel="0" collapsed="false">
      <c r="B566" s="18"/>
      <c r="C566" s="18"/>
    </row>
    <row r="567" customFormat="false" ht="15.75" hidden="false" customHeight="false" outlineLevel="0" collapsed="false">
      <c r="B567" s="18"/>
      <c r="C567" s="18"/>
    </row>
    <row r="568" customFormat="false" ht="15.75" hidden="false" customHeight="false" outlineLevel="0" collapsed="false">
      <c r="B568" s="18"/>
      <c r="C568" s="18"/>
    </row>
    <row r="569" customFormat="false" ht="15.75" hidden="false" customHeight="false" outlineLevel="0" collapsed="false">
      <c r="B569" s="18"/>
      <c r="C569" s="18"/>
    </row>
    <row r="570" customFormat="false" ht="15.75" hidden="false" customHeight="false" outlineLevel="0" collapsed="false">
      <c r="B570" s="18"/>
      <c r="C570" s="18"/>
    </row>
    <row r="571" customFormat="false" ht="15.75" hidden="false" customHeight="false" outlineLevel="0" collapsed="false">
      <c r="B571" s="18"/>
      <c r="C571" s="18"/>
    </row>
    <row r="572" customFormat="false" ht="15.75" hidden="false" customHeight="false" outlineLevel="0" collapsed="false">
      <c r="B572" s="18"/>
      <c r="C572" s="18"/>
    </row>
    <row r="573" customFormat="false" ht="15.75" hidden="false" customHeight="false" outlineLevel="0" collapsed="false">
      <c r="B573" s="18"/>
      <c r="C573" s="18"/>
    </row>
    <row r="574" customFormat="false" ht="15.75" hidden="false" customHeight="false" outlineLevel="0" collapsed="false">
      <c r="B574" s="18"/>
      <c r="C574" s="18"/>
    </row>
    <row r="575" customFormat="false" ht="15.75" hidden="false" customHeight="false" outlineLevel="0" collapsed="false">
      <c r="B575" s="18"/>
      <c r="C575" s="18"/>
    </row>
    <row r="576" customFormat="false" ht="15.75" hidden="false" customHeight="false" outlineLevel="0" collapsed="false">
      <c r="B576" s="18"/>
      <c r="C576" s="18"/>
    </row>
    <row r="577" customFormat="false" ht="15.75" hidden="false" customHeight="false" outlineLevel="0" collapsed="false">
      <c r="B577" s="18"/>
      <c r="C577" s="18"/>
    </row>
    <row r="578" customFormat="false" ht="15.75" hidden="false" customHeight="false" outlineLevel="0" collapsed="false">
      <c r="B578" s="18"/>
      <c r="C578" s="18"/>
    </row>
    <row r="579" customFormat="false" ht="15.75" hidden="false" customHeight="false" outlineLevel="0" collapsed="false">
      <c r="B579" s="18"/>
      <c r="C579" s="18"/>
    </row>
    <row r="580" customFormat="false" ht="15.75" hidden="false" customHeight="false" outlineLevel="0" collapsed="false">
      <c r="B580" s="18"/>
      <c r="C580" s="18"/>
    </row>
    <row r="581" customFormat="false" ht="15.75" hidden="false" customHeight="false" outlineLevel="0" collapsed="false">
      <c r="B581" s="18"/>
      <c r="C581" s="18"/>
    </row>
    <row r="582" customFormat="false" ht="15.75" hidden="false" customHeight="false" outlineLevel="0" collapsed="false">
      <c r="B582" s="18"/>
      <c r="C582" s="18"/>
    </row>
    <row r="583" customFormat="false" ht="15.75" hidden="false" customHeight="false" outlineLevel="0" collapsed="false">
      <c r="B583" s="18"/>
      <c r="C583" s="18"/>
    </row>
    <row r="584" customFormat="false" ht="15.75" hidden="false" customHeight="false" outlineLevel="0" collapsed="false">
      <c r="B584" s="18"/>
      <c r="C584" s="18"/>
    </row>
    <row r="585" customFormat="false" ht="15.75" hidden="false" customHeight="false" outlineLevel="0" collapsed="false">
      <c r="B585" s="18"/>
      <c r="C585" s="18"/>
    </row>
    <row r="586" customFormat="false" ht="15.75" hidden="false" customHeight="false" outlineLevel="0" collapsed="false">
      <c r="B586" s="18"/>
      <c r="C586" s="18"/>
    </row>
    <row r="587" customFormat="false" ht="15.75" hidden="false" customHeight="false" outlineLevel="0" collapsed="false">
      <c r="B587" s="18"/>
      <c r="C587" s="18"/>
    </row>
    <row r="588" customFormat="false" ht="15.75" hidden="false" customHeight="false" outlineLevel="0" collapsed="false">
      <c r="B588" s="18"/>
      <c r="C588" s="18"/>
    </row>
    <row r="589" customFormat="false" ht="15.75" hidden="false" customHeight="false" outlineLevel="0" collapsed="false">
      <c r="B589" s="18"/>
      <c r="C589" s="18"/>
    </row>
    <row r="590" customFormat="false" ht="15.75" hidden="false" customHeight="false" outlineLevel="0" collapsed="false">
      <c r="B590" s="18"/>
      <c r="C590" s="18"/>
    </row>
    <row r="591" customFormat="false" ht="15.75" hidden="false" customHeight="false" outlineLevel="0" collapsed="false">
      <c r="B591" s="18"/>
      <c r="C591" s="18"/>
    </row>
    <row r="592" customFormat="false" ht="15.75" hidden="false" customHeight="false" outlineLevel="0" collapsed="false">
      <c r="B592" s="18"/>
      <c r="C592" s="18"/>
    </row>
    <row r="593" customFormat="false" ht="15.75" hidden="false" customHeight="false" outlineLevel="0" collapsed="false">
      <c r="B593" s="18"/>
      <c r="C593" s="18"/>
    </row>
    <row r="594" customFormat="false" ht="15.75" hidden="false" customHeight="false" outlineLevel="0" collapsed="false">
      <c r="B594" s="18"/>
      <c r="C594" s="18"/>
    </row>
    <row r="595" customFormat="false" ht="15.75" hidden="false" customHeight="false" outlineLevel="0" collapsed="false">
      <c r="B595" s="18"/>
      <c r="C595" s="18"/>
    </row>
    <row r="596" customFormat="false" ht="15.75" hidden="false" customHeight="false" outlineLevel="0" collapsed="false">
      <c r="B596" s="18"/>
      <c r="C596" s="18"/>
    </row>
    <row r="597" customFormat="false" ht="15.75" hidden="false" customHeight="false" outlineLevel="0" collapsed="false">
      <c r="B597" s="18"/>
      <c r="C597" s="18"/>
    </row>
    <row r="598" customFormat="false" ht="15.75" hidden="false" customHeight="false" outlineLevel="0" collapsed="false">
      <c r="B598" s="18"/>
      <c r="C598" s="18"/>
    </row>
    <row r="599" customFormat="false" ht="15.75" hidden="false" customHeight="false" outlineLevel="0" collapsed="false">
      <c r="B599" s="18"/>
      <c r="C599" s="18"/>
    </row>
    <row r="600" customFormat="false" ht="15.75" hidden="false" customHeight="false" outlineLevel="0" collapsed="false">
      <c r="B600" s="18"/>
      <c r="C600" s="18"/>
    </row>
    <row r="601" customFormat="false" ht="15.75" hidden="false" customHeight="false" outlineLevel="0" collapsed="false">
      <c r="B601" s="18"/>
      <c r="C601" s="18"/>
    </row>
    <row r="602" customFormat="false" ht="15.75" hidden="false" customHeight="false" outlineLevel="0" collapsed="false">
      <c r="B602" s="18"/>
      <c r="C602" s="18"/>
    </row>
    <row r="603" customFormat="false" ht="15.75" hidden="false" customHeight="false" outlineLevel="0" collapsed="false">
      <c r="B603" s="18"/>
      <c r="C603" s="18"/>
    </row>
    <row r="604" customFormat="false" ht="15.75" hidden="false" customHeight="false" outlineLevel="0" collapsed="false">
      <c r="B604" s="18"/>
      <c r="C604" s="18"/>
    </row>
    <row r="605" customFormat="false" ht="15.75" hidden="false" customHeight="false" outlineLevel="0" collapsed="false">
      <c r="B605" s="18"/>
      <c r="C605" s="18"/>
    </row>
    <row r="606" customFormat="false" ht="15.75" hidden="false" customHeight="false" outlineLevel="0" collapsed="false">
      <c r="B606" s="18"/>
      <c r="C606" s="18"/>
    </row>
    <row r="607" customFormat="false" ht="15.75" hidden="false" customHeight="false" outlineLevel="0" collapsed="false">
      <c r="B607" s="18"/>
      <c r="C607" s="18"/>
    </row>
    <row r="608" customFormat="false" ht="15.75" hidden="false" customHeight="false" outlineLevel="0" collapsed="false">
      <c r="B608" s="18"/>
      <c r="C608" s="18"/>
    </row>
    <row r="609" customFormat="false" ht="15.75" hidden="false" customHeight="false" outlineLevel="0" collapsed="false">
      <c r="B609" s="18"/>
      <c r="C609" s="18"/>
    </row>
    <row r="610" customFormat="false" ht="15.75" hidden="false" customHeight="false" outlineLevel="0" collapsed="false">
      <c r="B610" s="18"/>
      <c r="C610" s="18"/>
    </row>
    <row r="611" customFormat="false" ht="15.75" hidden="false" customHeight="false" outlineLevel="0" collapsed="false">
      <c r="B611" s="18"/>
      <c r="C611" s="18"/>
    </row>
    <row r="612" customFormat="false" ht="15.75" hidden="false" customHeight="false" outlineLevel="0" collapsed="false">
      <c r="B612" s="18"/>
      <c r="C612" s="18"/>
    </row>
    <row r="613" customFormat="false" ht="15.75" hidden="false" customHeight="false" outlineLevel="0" collapsed="false">
      <c r="B613" s="18"/>
      <c r="C613" s="18"/>
    </row>
    <row r="614" customFormat="false" ht="15.75" hidden="false" customHeight="false" outlineLevel="0" collapsed="false">
      <c r="B614" s="18"/>
      <c r="C614" s="18"/>
    </row>
    <row r="615" customFormat="false" ht="15.75" hidden="false" customHeight="false" outlineLevel="0" collapsed="false">
      <c r="B615" s="18"/>
      <c r="C615" s="18"/>
    </row>
    <row r="616" customFormat="false" ht="15.75" hidden="false" customHeight="false" outlineLevel="0" collapsed="false">
      <c r="B616" s="18"/>
      <c r="C616" s="18"/>
    </row>
    <row r="617" customFormat="false" ht="15.75" hidden="false" customHeight="false" outlineLevel="0" collapsed="false">
      <c r="B617" s="18"/>
      <c r="C617" s="18"/>
    </row>
    <row r="618" customFormat="false" ht="15.75" hidden="false" customHeight="false" outlineLevel="0" collapsed="false">
      <c r="B618" s="18"/>
      <c r="C618" s="18"/>
    </row>
    <row r="619" customFormat="false" ht="15.75" hidden="false" customHeight="false" outlineLevel="0" collapsed="false">
      <c r="B619" s="18"/>
      <c r="C619" s="18"/>
    </row>
    <row r="620" customFormat="false" ht="15.75" hidden="false" customHeight="false" outlineLevel="0" collapsed="false">
      <c r="B620" s="18"/>
      <c r="C620" s="18"/>
    </row>
    <row r="621" customFormat="false" ht="15.75" hidden="false" customHeight="false" outlineLevel="0" collapsed="false">
      <c r="B621" s="18"/>
      <c r="C621" s="18"/>
    </row>
    <row r="622" customFormat="false" ht="15.75" hidden="false" customHeight="false" outlineLevel="0" collapsed="false">
      <c r="B622" s="18"/>
      <c r="C622" s="18"/>
    </row>
    <row r="623" customFormat="false" ht="15.75" hidden="false" customHeight="false" outlineLevel="0" collapsed="false">
      <c r="B623" s="18"/>
      <c r="C623" s="18"/>
    </row>
    <row r="624" customFormat="false" ht="15.75" hidden="false" customHeight="false" outlineLevel="0" collapsed="false">
      <c r="B624" s="18"/>
      <c r="C624" s="18"/>
    </row>
    <row r="625" customFormat="false" ht="15.75" hidden="false" customHeight="false" outlineLevel="0" collapsed="false">
      <c r="B625" s="18"/>
      <c r="C625" s="18"/>
    </row>
    <row r="626" customFormat="false" ht="15.75" hidden="false" customHeight="false" outlineLevel="0" collapsed="false">
      <c r="B626" s="18"/>
      <c r="C626" s="18"/>
    </row>
    <row r="627" customFormat="false" ht="15.75" hidden="false" customHeight="false" outlineLevel="0" collapsed="false">
      <c r="B627" s="18"/>
      <c r="C627" s="18"/>
    </row>
    <row r="628" customFormat="false" ht="15.75" hidden="false" customHeight="false" outlineLevel="0" collapsed="false">
      <c r="B628" s="18"/>
      <c r="C628" s="18"/>
    </row>
    <row r="629" customFormat="false" ht="15.75" hidden="false" customHeight="false" outlineLevel="0" collapsed="false">
      <c r="B629" s="18"/>
      <c r="C629" s="18"/>
    </row>
    <row r="630" customFormat="false" ht="15.75" hidden="false" customHeight="false" outlineLevel="0" collapsed="false">
      <c r="B630" s="18"/>
      <c r="C630" s="18"/>
    </row>
    <row r="631" customFormat="false" ht="15.75" hidden="false" customHeight="false" outlineLevel="0" collapsed="false">
      <c r="B631" s="18"/>
      <c r="C631" s="18"/>
    </row>
    <row r="632" customFormat="false" ht="15.75" hidden="false" customHeight="false" outlineLevel="0" collapsed="false">
      <c r="B632" s="18"/>
      <c r="C632" s="18"/>
    </row>
    <row r="633" customFormat="false" ht="15.75" hidden="false" customHeight="false" outlineLevel="0" collapsed="false">
      <c r="B633" s="18"/>
      <c r="C633" s="18"/>
    </row>
    <row r="634" customFormat="false" ht="15.75" hidden="false" customHeight="false" outlineLevel="0" collapsed="false">
      <c r="B634" s="18"/>
      <c r="C634" s="18"/>
    </row>
    <row r="635" customFormat="false" ht="15.75" hidden="false" customHeight="false" outlineLevel="0" collapsed="false">
      <c r="B635" s="18"/>
      <c r="C635" s="18"/>
    </row>
    <row r="636" customFormat="false" ht="15.75" hidden="false" customHeight="false" outlineLevel="0" collapsed="false">
      <c r="B636" s="18"/>
      <c r="C636" s="18"/>
    </row>
    <row r="637" customFormat="false" ht="15.75" hidden="false" customHeight="false" outlineLevel="0" collapsed="false">
      <c r="B637" s="18"/>
      <c r="C637" s="18"/>
    </row>
    <row r="638" customFormat="false" ht="15.75" hidden="false" customHeight="false" outlineLevel="0" collapsed="false">
      <c r="B638" s="18"/>
      <c r="C638" s="18"/>
    </row>
    <row r="639" customFormat="false" ht="15.75" hidden="false" customHeight="false" outlineLevel="0" collapsed="false">
      <c r="B639" s="18"/>
      <c r="C639" s="18"/>
    </row>
    <row r="640" customFormat="false" ht="15.75" hidden="false" customHeight="false" outlineLevel="0" collapsed="false">
      <c r="B640" s="18"/>
      <c r="C640" s="18"/>
    </row>
    <row r="641" customFormat="false" ht="15.75" hidden="false" customHeight="false" outlineLevel="0" collapsed="false">
      <c r="B641" s="18"/>
      <c r="C641" s="18"/>
    </row>
    <row r="642" customFormat="false" ht="15.75" hidden="false" customHeight="false" outlineLevel="0" collapsed="false">
      <c r="B642" s="18"/>
      <c r="C642" s="18"/>
    </row>
    <row r="643" customFormat="false" ht="15.75" hidden="false" customHeight="false" outlineLevel="0" collapsed="false">
      <c r="B643" s="18"/>
      <c r="C643" s="18"/>
    </row>
    <row r="644" customFormat="false" ht="15.75" hidden="false" customHeight="false" outlineLevel="0" collapsed="false">
      <c r="B644" s="18"/>
      <c r="C644" s="18"/>
    </row>
    <row r="645" customFormat="false" ht="15.75" hidden="false" customHeight="false" outlineLevel="0" collapsed="false">
      <c r="B645" s="18"/>
      <c r="C645" s="18"/>
    </row>
    <row r="646" customFormat="false" ht="15.75" hidden="false" customHeight="false" outlineLevel="0" collapsed="false">
      <c r="B646" s="18"/>
      <c r="C646" s="18"/>
    </row>
    <row r="647" customFormat="false" ht="15.75" hidden="false" customHeight="false" outlineLevel="0" collapsed="false">
      <c r="B647" s="18"/>
      <c r="C647" s="18"/>
    </row>
    <row r="648" customFormat="false" ht="15.75" hidden="false" customHeight="false" outlineLevel="0" collapsed="false">
      <c r="B648" s="18"/>
      <c r="C648" s="18"/>
    </row>
    <row r="649" customFormat="false" ht="15.75" hidden="false" customHeight="false" outlineLevel="0" collapsed="false">
      <c r="B649" s="18"/>
      <c r="C649" s="18"/>
    </row>
    <row r="650" customFormat="false" ht="15.75" hidden="false" customHeight="false" outlineLevel="0" collapsed="false">
      <c r="B650" s="18"/>
      <c r="C650" s="18"/>
    </row>
    <row r="651" customFormat="false" ht="15.75" hidden="false" customHeight="false" outlineLevel="0" collapsed="false">
      <c r="B651" s="18"/>
      <c r="C651" s="18"/>
    </row>
    <row r="652" customFormat="false" ht="15.75" hidden="false" customHeight="false" outlineLevel="0" collapsed="false">
      <c r="B652" s="18"/>
      <c r="C652" s="18"/>
    </row>
    <row r="653" customFormat="false" ht="15.75" hidden="false" customHeight="false" outlineLevel="0" collapsed="false">
      <c r="B653" s="18"/>
      <c r="C653" s="18"/>
    </row>
    <row r="654" customFormat="false" ht="15.75" hidden="false" customHeight="false" outlineLevel="0" collapsed="false">
      <c r="B654" s="18"/>
      <c r="C654" s="18"/>
    </row>
    <row r="655" customFormat="false" ht="15.75" hidden="false" customHeight="false" outlineLevel="0" collapsed="false">
      <c r="B655" s="18"/>
      <c r="C655" s="18"/>
    </row>
    <row r="656" customFormat="false" ht="15.75" hidden="false" customHeight="false" outlineLevel="0" collapsed="false">
      <c r="B656" s="18"/>
      <c r="C656" s="18"/>
    </row>
    <row r="657" customFormat="false" ht="15.75" hidden="false" customHeight="false" outlineLevel="0" collapsed="false">
      <c r="B657" s="18"/>
      <c r="C657" s="18"/>
    </row>
    <row r="658" customFormat="false" ht="15.75" hidden="false" customHeight="false" outlineLevel="0" collapsed="false">
      <c r="B658" s="18"/>
      <c r="C658" s="18"/>
    </row>
    <row r="659" customFormat="false" ht="15.75" hidden="false" customHeight="false" outlineLevel="0" collapsed="false">
      <c r="B659" s="18"/>
      <c r="C659" s="18"/>
    </row>
    <row r="660" customFormat="false" ht="15.75" hidden="false" customHeight="false" outlineLevel="0" collapsed="false">
      <c r="B660" s="18"/>
      <c r="C660" s="18"/>
    </row>
    <row r="661" customFormat="false" ht="15.75" hidden="false" customHeight="false" outlineLevel="0" collapsed="false">
      <c r="B661" s="18"/>
      <c r="C661" s="18"/>
    </row>
    <row r="662" customFormat="false" ht="15.75" hidden="false" customHeight="false" outlineLevel="0" collapsed="false">
      <c r="B662" s="18"/>
      <c r="C662" s="18"/>
    </row>
    <row r="663" customFormat="false" ht="15.75" hidden="false" customHeight="false" outlineLevel="0" collapsed="false">
      <c r="B663" s="18"/>
      <c r="C663" s="18"/>
    </row>
    <row r="664" customFormat="false" ht="15.75" hidden="false" customHeight="false" outlineLevel="0" collapsed="false">
      <c r="B664" s="18"/>
      <c r="C664" s="18"/>
    </row>
    <row r="665" customFormat="false" ht="15.75" hidden="false" customHeight="false" outlineLevel="0" collapsed="false">
      <c r="B665" s="18"/>
      <c r="C665" s="18"/>
    </row>
    <row r="666" customFormat="false" ht="15.75" hidden="false" customHeight="false" outlineLevel="0" collapsed="false">
      <c r="B666" s="18"/>
      <c r="C666" s="18"/>
    </row>
    <row r="667" customFormat="false" ht="15.75" hidden="false" customHeight="false" outlineLevel="0" collapsed="false">
      <c r="B667" s="18"/>
      <c r="C667" s="18"/>
    </row>
    <row r="668" customFormat="false" ht="15.75" hidden="false" customHeight="false" outlineLevel="0" collapsed="false">
      <c r="B668" s="18"/>
      <c r="C668" s="18"/>
    </row>
    <row r="669" customFormat="false" ht="15.75" hidden="false" customHeight="false" outlineLevel="0" collapsed="false">
      <c r="B669" s="18"/>
      <c r="C669" s="18"/>
    </row>
    <row r="670" customFormat="false" ht="15.75" hidden="false" customHeight="false" outlineLevel="0" collapsed="false">
      <c r="B670" s="18"/>
      <c r="C670" s="18"/>
    </row>
    <row r="671" customFormat="false" ht="15.75" hidden="false" customHeight="false" outlineLevel="0" collapsed="false">
      <c r="B671" s="18"/>
      <c r="C671" s="18"/>
    </row>
    <row r="672" customFormat="false" ht="15.75" hidden="false" customHeight="false" outlineLevel="0" collapsed="false">
      <c r="B672" s="18"/>
      <c r="C672" s="18"/>
    </row>
    <row r="673" customFormat="false" ht="15.75" hidden="false" customHeight="false" outlineLevel="0" collapsed="false">
      <c r="B673" s="18"/>
      <c r="C673" s="18"/>
    </row>
    <row r="674" customFormat="false" ht="15.75" hidden="false" customHeight="false" outlineLevel="0" collapsed="false">
      <c r="B674" s="18"/>
      <c r="C674" s="18"/>
    </row>
    <row r="675" customFormat="false" ht="15.75" hidden="false" customHeight="false" outlineLevel="0" collapsed="false">
      <c r="B675" s="18"/>
      <c r="C675" s="18"/>
    </row>
    <row r="676" customFormat="false" ht="15.75" hidden="false" customHeight="false" outlineLevel="0" collapsed="false">
      <c r="B676" s="18"/>
      <c r="C676" s="18"/>
    </row>
    <row r="677" customFormat="false" ht="15.75" hidden="false" customHeight="false" outlineLevel="0" collapsed="false">
      <c r="B677" s="18"/>
      <c r="C677" s="18"/>
    </row>
    <row r="678" customFormat="false" ht="15.75" hidden="false" customHeight="false" outlineLevel="0" collapsed="false">
      <c r="B678" s="18"/>
      <c r="C678" s="18"/>
    </row>
    <row r="679" customFormat="false" ht="15.75" hidden="false" customHeight="false" outlineLevel="0" collapsed="false">
      <c r="B679" s="18"/>
      <c r="C679" s="18"/>
    </row>
    <row r="680" customFormat="false" ht="15.75" hidden="false" customHeight="false" outlineLevel="0" collapsed="false">
      <c r="B680" s="18"/>
      <c r="C680" s="18"/>
    </row>
    <row r="681" customFormat="false" ht="15.75" hidden="false" customHeight="false" outlineLevel="0" collapsed="false">
      <c r="B681" s="18"/>
      <c r="C681" s="18"/>
    </row>
    <row r="682" customFormat="false" ht="15.75" hidden="false" customHeight="false" outlineLevel="0" collapsed="false">
      <c r="B682" s="18"/>
      <c r="C682" s="18"/>
    </row>
    <row r="683" customFormat="false" ht="15.75" hidden="false" customHeight="false" outlineLevel="0" collapsed="false">
      <c r="B683" s="18"/>
      <c r="C683" s="18"/>
    </row>
    <row r="684" customFormat="false" ht="15.75" hidden="false" customHeight="false" outlineLevel="0" collapsed="false">
      <c r="B684" s="18"/>
      <c r="C684" s="18"/>
    </row>
    <row r="685" customFormat="false" ht="15.75" hidden="false" customHeight="false" outlineLevel="0" collapsed="false">
      <c r="B685" s="18"/>
      <c r="C685" s="18"/>
    </row>
    <row r="686" customFormat="false" ht="15.75" hidden="false" customHeight="false" outlineLevel="0" collapsed="false">
      <c r="B686" s="18"/>
      <c r="C686" s="18"/>
    </row>
    <row r="687" customFormat="false" ht="15.75" hidden="false" customHeight="false" outlineLevel="0" collapsed="false">
      <c r="B687" s="18"/>
      <c r="C687" s="18"/>
    </row>
    <row r="688" customFormat="false" ht="15.75" hidden="false" customHeight="false" outlineLevel="0" collapsed="false">
      <c r="B688" s="18"/>
      <c r="C688" s="18"/>
    </row>
    <row r="689" customFormat="false" ht="15.75" hidden="false" customHeight="false" outlineLevel="0" collapsed="false">
      <c r="B689" s="18"/>
      <c r="C689" s="18"/>
    </row>
    <row r="690" customFormat="false" ht="15.75" hidden="false" customHeight="false" outlineLevel="0" collapsed="false">
      <c r="B690" s="18"/>
      <c r="C690" s="18"/>
    </row>
    <row r="691" customFormat="false" ht="15.75" hidden="false" customHeight="false" outlineLevel="0" collapsed="false">
      <c r="B691" s="18"/>
      <c r="C691" s="18"/>
    </row>
    <row r="692" customFormat="false" ht="15.75" hidden="false" customHeight="false" outlineLevel="0" collapsed="false">
      <c r="B692" s="18"/>
      <c r="C692" s="18"/>
    </row>
    <row r="693" customFormat="false" ht="15.75" hidden="false" customHeight="false" outlineLevel="0" collapsed="false">
      <c r="B693" s="18"/>
      <c r="C693" s="18"/>
    </row>
    <row r="694" customFormat="false" ht="15.75" hidden="false" customHeight="false" outlineLevel="0" collapsed="false">
      <c r="B694" s="18"/>
      <c r="C694" s="18"/>
    </row>
    <row r="695" customFormat="false" ht="15.75" hidden="false" customHeight="false" outlineLevel="0" collapsed="false">
      <c r="B695" s="18"/>
      <c r="C695" s="18"/>
    </row>
    <row r="696" customFormat="false" ht="15.75" hidden="false" customHeight="false" outlineLevel="0" collapsed="false">
      <c r="B696" s="18"/>
      <c r="C696" s="18"/>
    </row>
    <row r="697" customFormat="false" ht="15.75" hidden="false" customHeight="false" outlineLevel="0" collapsed="false">
      <c r="B697" s="18"/>
      <c r="C697" s="18"/>
    </row>
    <row r="698" customFormat="false" ht="15.75" hidden="false" customHeight="false" outlineLevel="0" collapsed="false">
      <c r="B698" s="18"/>
      <c r="C698" s="18"/>
    </row>
    <row r="699" customFormat="false" ht="15.75" hidden="false" customHeight="false" outlineLevel="0" collapsed="false">
      <c r="B699" s="18"/>
      <c r="C699" s="18"/>
    </row>
    <row r="700" customFormat="false" ht="15.75" hidden="false" customHeight="false" outlineLevel="0" collapsed="false">
      <c r="B700" s="18"/>
      <c r="C700" s="18"/>
    </row>
    <row r="701" customFormat="false" ht="15.75" hidden="false" customHeight="false" outlineLevel="0" collapsed="false">
      <c r="B701" s="18"/>
      <c r="C701" s="18"/>
    </row>
    <row r="702" customFormat="false" ht="15.75" hidden="false" customHeight="false" outlineLevel="0" collapsed="false">
      <c r="B702" s="18"/>
      <c r="C702" s="18"/>
    </row>
    <row r="703" customFormat="false" ht="15.75" hidden="false" customHeight="false" outlineLevel="0" collapsed="false">
      <c r="B703" s="18"/>
      <c r="C703" s="18"/>
    </row>
    <row r="704" customFormat="false" ht="15.75" hidden="false" customHeight="false" outlineLevel="0" collapsed="false">
      <c r="B704" s="18"/>
      <c r="C704" s="18"/>
    </row>
    <row r="705" customFormat="false" ht="15.75" hidden="false" customHeight="false" outlineLevel="0" collapsed="false">
      <c r="B705" s="18"/>
      <c r="C705" s="18"/>
    </row>
    <row r="706" customFormat="false" ht="15.75" hidden="false" customHeight="false" outlineLevel="0" collapsed="false">
      <c r="B706" s="18"/>
      <c r="C706" s="18"/>
    </row>
    <row r="707" customFormat="false" ht="15.75" hidden="false" customHeight="false" outlineLevel="0" collapsed="false">
      <c r="B707" s="18"/>
      <c r="C707" s="18"/>
    </row>
    <row r="708" customFormat="false" ht="15.75" hidden="false" customHeight="false" outlineLevel="0" collapsed="false">
      <c r="B708" s="18"/>
      <c r="C708" s="18"/>
    </row>
    <row r="709" customFormat="false" ht="15.75" hidden="false" customHeight="false" outlineLevel="0" collapsed="false">
      <c r="B709" s="18"/>
      <c r="C709" s="18"/>
    </row>
    <row r="710" customFormat="false" ht="15.75" hidden="false" customHeight="false" outlineLevel="0" collapsed="false">
      <c r="B710" s="18"/>
      <c r="C710" s="18"/>
    </row>
    <row r="711" customFormat="false" ht="15.75" hidden="false" customHeight="false" outlineLevel="0" collapsed="false">
      <c r="B711" s="18"/>
      <c r="C711" s="18"/>
    </row>
    <row r="712" customFormat="false" ht="15.75" hidden="false" customHeight="false" outlineLevel="0" collapsed="false">
      <c r="B712" s="18"/>
      <c r="C712" s="18"/>
    </row>
    <row r="713" customFormat="false" ht="15.75" hidden="false" customHeight="false" outlineLevel="0" collapsed="false">
      <c r="B713" s="18"/>
      <c r="C713" s="18"/>
    </row>
    <row r="714" customFormat="false" ht="15.75" hidden="false" customHeight="false" outlineLevel="0" collapsed="false">
      <c r="B714" s="18"/>
      <c r="C714" s="18"/>
    </row>
    <row r="715" customFormat="false" ht="15.75" hidden="false" customHeight="false" outlineLevel="0" collapsed="false">
      <c r="B715" s="18"/>
      <c r="C715" s="18"/>
    </row>
    <row r="716" customFormat="false" ht="15.75" hidden="false" customHeight="false" outlineLevel="0" collapsed="false">
      <c r="B716" s="18"/>
      <c r="C716" s="18"/>
    </row>
    <row r="717" customFormat="false" ht="15.75" hidden="false" customHeight="false" outlineLevel="0" collapsed="false">
      <c r="B717" s="18"/>
      <c r="C717" s="18"/>
    </row>
    <row r="718" customFormat="false" ht="15.75" hidden="false" customHeight="false" outlineLevel="0" collapsed="false">
      <c r="B718" s="18"/>
      <c r="C718" s="18"/>
    </row>
    <row r="719" customFormat="false" ht="15.75" hidden="false" customHeight="false" outlineLevel="0" collapsed="false">
      <c r="B719" s="18"/>
      <c r="C719" s="18"/>
    </row>
    <row r="720" customFormat="false" ht="15.75" hidden="false" customHeight="false" outlineLevel="0" collapsed="false">
      <c r="B720" s="18"/>
      <c r="C720" s="18"/>
    </row>
    <row r="721" customFormat="false" ht="15.75" hidden="false" customHeight="false" outlineLevel="0" collapsed="false">
      <c r="B721" s="18"/>
      <c r="C721" s="18"/>
    </row>
    <row r="722" customFormat="false" ht="15.75" hidden="false" customHeight="false" outlineLevel="0" collapsed="false">
      <c r="B722" s="18"/>
      <c r="C722" s="18"/>
    </row>
    <row r="723" customFormat="false" ht="15.75" hidden="false" customHeight="false" outlineLevel="0" collapsed="false">
      <c r="B723" s="18"/>
      <c r="C723" s="18"/>
    </row>
    <row r="724" customFormat="false" ht="15.75" hidden="false" customHeight="false" outlineLevel="0" collapsed="false">
      <c r="B724" s="18"/>
      <c r="C724" s="18"/>
    </row>
    <row r="725" customFormat="false" ht="15.75" hidden="false" customHeight="false" outlineLevel="0" collapsed="false">
      <c r="B725" s="18"/>
      <c r="C725" s="18"/>
    </row>
    <row r="726" customFormat="false" ht="15.75" hidden="false" customHeight="false" outlineLevel="0" collapsed="false">
      <c r="B726" s="18"/>
      <c r="C726" s="18"/>
    </row>
    <row r="727" customFormat="false" ht="15.75" hidden="false" customHeight="false" outlineLevel="0" collapsed="false">
      <c r="B727" s="18"/>
      <c r="C727" s="18"/>
    </row>
    <row r="728" customFormat="false" ht="15.75" hidden="false" customHeight="false" outlineLevel="0" collapsed="false">
      <c r="B728" s="18"/>
      <c r="C728" s="18"/>
    </row>
    <row r="729" customFormat="false" ht="15.75" hidden="false" customHeight="false" outlineLevel="0" collapsed="false">
      <c r="B729" s="18"/>
      <c r="C729" s="18"/>
    </row>
    <row r="730" customFormat="false" ht="15.75" hidden="false" customHeight="false" outlineLevel="0" collapsed="false">
      <c r="B730" s="18"/>
      <c r="C730" s="18"/>
    </row>
    <row r="731" customFormat="false" ht="15.75" hidden="false" customHeight="false" outlineLevel="0" collapsed="false">
      <c r="B731" s="18"/>
      <c r="C731" s="18"/>
    </row>
    <row r="732" customFormat="false" ht="15.75" hidden="false" customHeight="false" outlineLevel="0" collapsed="false">
      <c r="B732" s="18"/>
      <c r="C732" s="18"/>
    </row>
    <row r="733" customFormat="false" ht="15.75" hidden="false" customHeight="false" outlineLevel="0" collapsed="false">
      <c r="B733" s="18"/>
      <c r="C733" s="18"/>
    </row>
    <row r="734" customFormat="false" ht="15.75" hidden="false" customHeight="false" outlineLevel="0" collapsed="false">
      <c r="B734" s="18"/>
      <c r="C734" s="18"/>
    </row>
    <row r="735" customFormat="false" ht="15.75" hidden="false" customHeight="false" outlineLevel="0" collapsed="false">
      <c r="B735" s="18"/>
      <c r="C735" s="18"/>
    </row>
    <row r="736" customFormat="false" ht="15.75" hidden="false" customHeight="false" outlineLevel="0" collapsed="false">
      <c r="B736" s="18"/>
      <c r="C736" s="18"/>
    </row>
    <row r="737" customFormat="false" ht="15.75" hidden="false" customHeight="false" outlineLevel="0" collapsed="false">
      <c r="B737" s="18"/>
      <c r="C737" s="18"/>
    </row>
    <row r="738" customFormat="false" ht="15.75" hidden="false" customHeight="false" outlineLevel="0" collapsed="false">
      <c r="B738" s="18"/>
      <c r="C738" s="18"/>
    </row>
    <row r="739" customFormat="false" ht="15.75" hidden="false" customHeight="false" outlineLevel="0" collapsed="false">
      <c r="B739" s="18"/>
      <c r="C739" s="18"/>
    </row>
    <row r="740" customFormat="false" ht="15.75" hidden="false" customHeight="false" outlineLevel="0" collapsed="false">
      <c r="B740" s="18"/>
      <c r="C740" s="18"/>
    </row>
    <row r="741" customFormat="false" ht="15.75" hidden="false" customHeight="false" outlineLevel="0" collapsed="false">
      <c r="B741" s="18"/>
      <c r="C741" s="18"/>
    </row>
    <row r="742" customFormat="false" ht="15.75" hidden="false" customHeight="false" outlineLevel="0" collapsed="false">
      <c r="B742" s="18"/>
      <c r="C742" s="18"/>
    </row>
    <row r="743" customFormat="false" ht="15.75" hidden="false" customHeight="false" outlineLevel="0" collapsed="false">
      <c r="B743" s="18"/>
      <c r="C743" s="18"/>
    </row>
    <row r="744" customFormat="false" ht="15.75" hidden="false" customHeight="false" outlineLevel="0" collapsed="false">
      <c r="B744" s="18"/>
      <c r="C744" s="18"/>
    </row>
    <row r="745" customFormat="false" ht="15.75" hidden="false" customHeight="false" outlineLevel="0" collapsed="false">
      <c r="B745" s="18"/>
      <c r="C745" s="18"/>
    </row>
    <row r="746" customFormat="false" ht="15.75" hidden="false" customHeight="false" outlineLevel="0" collapsed="false">
      <c r="B746" s="18"/>
      <c r="C746" s="18"/>
    </row>
    <row r="747" customFormat="false" ht="15.75" hidden="false" customHeight="false" outlineLevel="0" collapsed="false">
      <c r="B747" s="18"/>
      <c r="C747" s="18"/>
    </row>
    <row r="748" customFormat="false" ht="15.75" hidden="false" customHeight="false" outlineLevel="0" collapsed="false">
      <c r="B748" s="18"/>
      <c r="C748" s="18"/>
    </row>
    <row r="749" customFormat="false" ht="15.75" hidden="false" customHeight="false" outlineLevel="0" collapsed="false">
      <c r="B749" s="18"/>
      <c r="C749" s="18"/>
    </row>
    <row r="750" customFormat="false" ht="15.75" hidden="false" customHeight="false" outlineLevel="0" collapsed="false">
      <c r="B750" s="18"/>
      <c r="C750" s="18"/>
    </row>
    <row r="751" customFormat="false" ht="15.75" hidden="false" customHeight="false" outlineLevel="0" collapsed="false">
      <c r="B751" s="18"/>
      <c r="C751" s="18"/>
    </row>
    <row r="752" customFormat="false" ht="15.75" hidden="false" customHeight="false" outlineLevel="0" collapsed="false">
      <c r="B752" s="18"/>
      <c r="C752" s="18"/>
    </row>
    <row r="753" customFormat="false" ht="15.75" hidden="false" customHeight="false" outlineLevel="0" collapsed="false">
      <c r="B753" s="18"/>
      <c r="C753" s="18"/>
    </row>
    <row r="754" customFormat="false" ht="15.75" hidden="false" customHeight="false" outlineLevel="0" collapsed="false">
      <c r="B754" s="18"/>
      <c r="C754" s="18"/>
    </row>
    <row r="755" customFormat="false" ht="15.75" hidden="false" customHeight="false" outlineLevel="0" collapsed="false">
      <c r="B755" s="18"/>
      <c r="C755" s="18"/>
    </row>
    <row r="756" customFormat="false" ht="15.75" hidden="false" customHeight="false" outlineLevel="0" collapsed="false">
      <c r="B756" s="18"/>
      <c r="C756" s="18"/>
    </row>
    <row r="757" customFormat="false" ht="15.75" hidden="false" customHeight="false" outlineLevel="0" collapsed="false">
      <c r="B757" s="18"/>
      <c r="C757" s="18"/>
    </row>
    <row r="758" customFormat="false" ht="15.75" hidden="false" customHeight="false" outlineLevel="0" collapsed="false">
      <c r="B758" s="18"/>
      <c r="C758" s="18"/>
    </row>
    <row r="759" customFormat="false" ht="15.75" hidden="false" customHeight="false" outlineLevel="0" collapsed="false">
      <c r="B759" s="18"/>
      <c r="C759" s="18"/>
    </row>
    <row r="760" customFormat="false" ht="15.75" hidden="false" customHeight="false" outlineLevel="0" collapsed="false">
      <c r="B760" s="18"/>
      <c r="C760" s="18"/>
    </row>
    <row r="761" customFormat="false" ht="15.75" hidden="false" customHeight="false" outlineLevel="0" collapsed="false">
      <c r="B761" s="18"/>
      <c r="C761" s="18"/>
    </row>
    <row r="762" customFormat="false" ht="15.75" hidden="false" customHeight="false" outlineLevel="0" collapsed="false">
      <c r="B762" s="18"/>
      <c r="C762" s="18"/>
    </row>
    <row r="763" customFormat="false" ht="15.75" hidden="false" customHeight="false" outlineLevel="0" collapsed="false">
      <c r="B763" s="18"/>
      <c r="C763" s="18"/>
    </row>
    <row r="764" customFormat="false" ht="15.75" hidden="false" customHeight="false" outlineLevel="0" collapsed="false">
      <c r="B764" s="18"/>
      <c r="C764" s="18"/>
    </row>
    <row r="765" customFormat="false" ht="15.75" hidden="false" customHeight="false" outlineLevel="0" collapsed="false">
      <c r="B765" s="18"/>
      <c r="C765" s="18"/>
    </row>
    <row r="766" customFormat="false" ht="15.75" hidden="false" customHeight="false" outlineLevel="0" collapsed="false">
      <c r="B766" s="18"/>
      <c r="C766" s="18"/>
    </row>
    <row r="767" customFormat="false" ht="15.75" hidden="false" customHeight="false" outlineLevel="0" collapsed="false">
      <c r="B767" s="18"/>
      <c r="C767" s="18"/>
    </row>
    <row r="768" customFormat="false" ht="15.75" hidden="false" customHeight="false" outlineLevel="0" collapsed="false">
      <c r="B768" s="18"/>
      <c r="C768" s="18"/>
    </row>
    <row r="769" customFormat="false" ht="15.75" hidden="false" customHeight="false" outlineLevel="0" collapsed="false">
      <c r="B769" s="18"/>
      <c r="C769" s="18"/>
    </row>
    <row r="770" customFormat="false" ht="15.75" hidden="false" customHeight="false" outlineLevel="0" collapsed="false">
      <c r="B770" s="18"/>
      <c r="C770" s="18"/>
    </row>
    <row r="771" customFormat="false" ht="15.75" hidden="false" customHeight="false" outlineLevel="0" collapsed="false">
      <c r="B771" s="18"/>
      <c r="C771" s="18"/>
    </row>
    <row r="772" customFormat="false" ht="15.75" hidden="false" customHeight="false" outlineLevel="0" collapsed="false">
      <c r="B772" s="18"/>
      <c r="C772" s="18"/>
    </row>
    <row r="773" customFormat="false" ht="15.75" hidden="false" customHeight="false" outlineLevel="0" collapsed="false">
      <c r="B773" s="18"/>
      <c r="C773" s="18"/>
    </row>
    <row r="774" customFormat="false" ht="15.75" hidden="false" customHeight="false" outlineLevel="0" collapsed="false">
      <c r="B774" s="18"/>
      <c r="C774" s="18"/>
    </row>
    <row r="775" customFormat="false" ht="15.75" hidden="false" customHeight="false" outlineLevel="0" collapsed="false">
      <c r="B775" s="18"/>
      <c r="C775" s="18"/>
    </row>
    <row r="776" customFormat="false" ht="15.75" hidden="false" customHeight="false" outlineLevel="0" collapsed="false">
      <c r="B776" s="18"/>
      <c r="C776" s="18"/>
    </row>
    <row r="777" customFormat="false" ht="15.75" hidden="false" customHeight="false" outlineLevel="0" collapsed="false">
      <c r="B777" s="18"/>
      <c r="C777" s="18"/>
    </row>
    <row r="778" customFormat="false" ht="15.75" hidden="false" customHeight="false" outlineLevel="0" collapsed="false">
      <c r="B778" s="18"/>
      <c r="C778" s="18"/>
    </row>
    <row r="779" customFormat="false" ht="15.75" hidden="false" customHeight="false" outlineLevel="0" collapsed="false">
      <c r="B779" s="18"/>
      <c r="C779" s="18"/>
    </row>
    <row r="780" customFormat="false" ht="15.75" hidden="false" customHeight="false" outlineLevel="0" collapsed="false">
      <c r="B780" s="18"/>
      <c r="C780" s="18"/>
    </row>
    <row r="781" customFormat="false" ht="15.75" hidden="false" customHeight="false" outlineLevel="0" collapsed="false">
      <c r="B781" s="18"/>
      <c r="C781" s="18"/>
    </row>
    <row r="782" customFormat="false" ht="15.75" hidden="false" customHeight="false" outlineLevel="0" collapsed="false">
      <c r="B782" s="18"/>
      <c r="C782" s="18"/>
    </row>
    <row r="783" customFormat="false" ht="15.75" hidden="false" customHeight="false" outlineLevel="0" collapsed="false">
      <c r="B783" s="18"/>
      <c r="C783" s="18"/>
    </row>
    <row r="784" customFormat="false" ht="15.75" hidden="false" customHeight="false" outlineLevel="0" collapsed="false">
      <c r="B784" s="18"/>
      <c r="C784" s="18"/>
    </row>
    <row r="785" customFormat="false" ht="15.75" hidden="false" customHeight="false" outlineLevel="0" collapsed="false">
      <c r="B785" s="18"/>
      <c r="C785" s="18"/>
    </row>
    <row r="786" customFormat="false" ht="15.75" hidden="false" customHeight="false" outlineLevel="0" collapsed="false">
      <c r="B786" s="18"/>
      <c r="C786" s="18"/>
    </row>
    <row r="787" customFormat="false" ht="15.75" hidden="false" customHeight="false" outlineLevel="0" collapsed="false">
      <c r="B787" s="18"/>
      <c r="C787" s="18"/>
    </row>
    <row r="788" customFormat="false" ht="15.75" hidden="false" customHeight="false" outlineLevel="0" collapsed="false">
      <c r="B788" s="18"/>
      <c r="C788" s="18"/>
    </row>
    <row r="789" customFormat="false" ht="15.75" hidden="false" customHeight="false" outlineLevel="0" collapsed="false">
      <c r="B789" s="18"/>
      <c r="C789" s="18"/>
    </row>
    <row r="790" customFormat="false" ht="15.75" hidden="false" customHeight="false" outlineLevel="0" collapsed="false">
      <c r="B790" s="18"/>
      <c r="C790" s="18"/>
    </row>
    <row r="791" customFormat="false" ht="15.75" hidden="false" customHeight="false" outlineLevel="0" collapsed="false">
      <c r="B791" s="18"/>
      <c r="C791" s="18"/>
    </row>
    <row r="792" customFormat="false" ht="15.75" hidden="false" customHeight="false" outlineLevel="0" collapsed="false">
      <c r="B792" s="18"/>
      <c r="C792" s="18"/>
    </row>
    <row r="793" customFormat="false" ht="15.75" hidden="false" customHeight="false" outlineLevel="0" collapsed="false">
      <c r="B793" s="18"/>
      <c r="C793" s="18"/>
    </row>
    <row r="794" customFormat="false" ht="15.75" hidden="false" customHeight="false" outlineLevel="0" collapsed="false">
      <c r="B794" s="18"/>
      <c r="C794" s="18"/>
    </row>
    <row r="795" customFormat="false" ht="15.75" hidden="false" customHeight="false" outlineLevel="0" collapsed="false">
      <c r="B795" s="18"/>
      <c r="C795" s="18"/>
    </row>
    <row r="796" customFormat="false" ht="15.75" hidden="false" customHeight="false" outlineLevel="0" collapsed="false">
      <c r="B796" s="18"/>
      <c r="C796" s="18"/>
    </row>
    <row r="797" customFormat="false" ht="15.75" hidden="false" customHeight="false" outlineLevel="0" collapsed="false">
      <c r="B797" s="18"/>
      <c r="C797" s="18"/>
    </row>
    <row r="798" customFormat="false" ht="15.75" hidden="false" customHeight="false" outlineLevel="0" collapsed="false">
      <c r="B798" s="18"/>
      <c r="C798" s="18"/>
    </row>
    <row r="799" customFormat="false" ht="15.75" hidden="false" customHeight="false" outlineLevel="0" collapsed="false">
      <c r="B799" s="18"/>
      <c r="C799" s="18"/>
    </row>
    <row r="800" customFormat="false" ht="15.75" hidden="false" customHeight="false" outlineLevel="0" collapsed="false">
      <c r="B800" s="18"/>
      <c r="C800" s="18"/>
    </row>
    <row r="801" customFormat="false" ht="15.75" hidden="false" customHeight="false" outlineLevel="0" collapsed="false">
      <c r="B801" s="18"/>
      <c r="C801" s="18"/>
    </row>
    <row r="802" customFormat="false" ht="15.75" hidden="false" customHeight="false" outlineLevel="0" collapsed="false">
      <c r="B802" s="18"/>
      <c r="C802" s="18"/>
    </row>
    <row r="803" customFormat="false" ht="15.75" hidden="false" customHeight="false" outlineLevel="0" collapsed="false">
      <c r="B803" s="18"/>
      <c r="C803" s="18"/>
    </row>
    <row r="804" customFormat="false" ht="15.75" hidden="false" customHeight="false" outlineLevel="0" collapsed="false">
      <c r="B804" s="18"/>
      <c r="C804" s="18"/>
    </row>
    <row r="805" customFormat="false" ht="15.75" hidden="false" customHeight="false" outlineLevel="0" collapsed="false">
      <c r="B805" s="18"/>
      <c r="C805" s="18"/>
    </row>
    <row r="806" customFormat="false" ht="15.75" hidden="false" customHeight="false" outlineLevel="0" collapsed="false">
      <c r="B806" s="18"/>
      <c r="C806" s="18"/>
    </row>
    <row r="807" customFormat="false" ht="15.75" hidden="false" customHeight="false" outlineLevel="0" collapsed="false">
      <c r="B807" s="18"/>
      <c r="C807" s="18"/>
    </row>
    <row r="808" customFormat="false" ht="15.75" hidden="false" customHeight="false" outlineLevel="0" collapsed="false">
      <c r="B808" s="18"/>
      <c r="C808" s="18"/>
    </row>
    <row r="809" customFormat="false" ht="15.75" hidden="false" customHeight="false" outlineLevel="0" collapsed="false">
      <c r="B809" s="18"/>
      <c r="C809" s="18"/>
    </row>
    <row r="810" customFormat="false" ht="15.75" hidden="false" customHeight="false" outlineLevel="0" collapsed="false">
      <c r="B810" s="18"/>
      <c r="C810" s="18"/>
    </row>
    <row r="811" customFormat="false" ht="15.75" hidden="false" customHeight="false" outlineLevel="0" collapsed="false">
      <c r="B811" s="18"/>
      <c r="C811" s="18"/>
    </row>
    <row r="812" customFormat="false" ht="15.75" hidden="false" customHeight="false" outlineLevel="0" collapsed="false">
      <c r="B812" s="18"/>
      <c r="C812" s="18"/>
    </row>
    <row r="813" customFormat="false" ht="15.75" hidden="false" customHeight="false" outlineLevel="0" collapsed="false">
      <c r="B813" s="18"/>
      <c r="C813" s="18"/>
    </row>
    <row r="814" customFormat="false" ht="15.75" hidden="false" customHeight="false" outlineLevel="0" collapsed="false">
      <c r="B814" s="18"/>
      <c r="C814" s="18"/>
    </row>
    <row r="815" customFormat="false" ht="15.75" hidden="false" customHeight="false" outlineLevel="0" collapsed="false">
      <c r="B815" s="18"/>
      <c r="C815" s="18"/>
    </row>
    <row r="816" customFormat="false" ht="15.75" hidden="false" customHeight="false" outlineLevel="0" collapsed="false">
      <c r="B816" s="18"/>
      <c r="C816" s="18"/>
    </row>
    <row r="817" customFormat="false" ht="15.75" hidden="false" customHeight="false" outlineLevel="0" collapsed="false">
      <c r="B817" s="18"/>
      <c r="C817" s="18"/>
    </row>
    <row r="818" customFormat="false" ht="15.75" hidden="false" customHeight="false" outlineLevel="0" collapsed="false">
      <c r="B818" s="18"/>
      <c r="C818" s="18"/>
    </row>
    <row r="819" customFormat="false" ht="15.75" hidden="false" customHeight="false" outlineLevel="0" collapsed="false">
      <c r="B819" s="18"/>
      <c r="C819" s="18"/>
    </row>
    <row r="820" customFormat="false" ht="15.75" hidden="false" customHeight="false" outlineLevel="0" collapsed="false">
      <c r="B820" s="18"/>
      <c r="C820" s="18"/>
    </row>
    <row r="821" customFormat="false" ht="15.75" hidden="false" customHeight="false" outlineLevel="0" collapsed="false">
      <c r="B821" s="18"/>
      <c r="C821" s="18"/>
    </row>
    <row r="822" customFormat="false" ht="15.75" hidden="false" customHeight="false" outlineLevel="0" collapsed="false">
      <c r="B822" s="18"/>
      <c r="C822" s="18"/>
    </row>
    <row r="823" customFormat="false" ht="15.75" hidden="false" customHeight="false" outlineLevel="0" collapsed="false">
      <c r="B823" s="18"/>
      <c r="C823" s="18"/>
    </row>
    <row r="824" customFormat="false" ht="15.75" hidden="false" customHeight="false" outlineLevel="0" collapsed="false">
      <c r="B824" s="18"/>
      <c r="C824" s="18"/>
    </row>
    <row r="825" customFormat="false" ht="15.75" hidden="false" customHeight="false" outlineLevel="0" collapsed="false">
      <c r="B825" s="18"/>
      <c r="C825" s="18"/>
    </row>
    <row r="826" customFormat="false" ht="15.75" hidden="false" customHeight="false" outlineLevel="0" collapsed="false">
      <c r="B826" s="18"/>
      <c r="C826" s="18"/>
    </row>
    <row r="827" customFormat="false" ht="15.75" hidden="false" customHeight="false" outlineLevel="0" collapsed="false">
      <c r="B827" s="18"/>
      <c r="C827" s="18"/>
    </row>
    <row r="828" customFormat="false" ht="15.75" hidden="false" customHeight="false" outlineLevel="0" collapsed="false">
      <c r="B828" s="18"/>
      <c r="C828" s="18"/>
    </row>
    <row r="829" customFormat="false" ht="15.75" hidden="false" customHeight="false" outlineLevel="0" collapsed="false">
      <c r="B829" s="18"/>
      <c r="C829" s="18"/>
    </row>
    <row r="830" customFormat="false" ht="15.75" hidden="false" customHeight="false" outlineLevel="0" collapsed="false">
      <c r="B830" s="18"/>
      <c r="C830" s="18"/>
    </row>
    <row r="831" customFormat="false" ht="15.75" hidden="false" customHeight="false" outlineLevel="0" collapsed="false">
      <c r="B831" s="18"/>
      <c r="C831" s="18"/>
    </row>
    <row r="832" customFormat="false" ht="15.75" hidden="false" customHeight="false" outlineLevel="0" collapsed="false">
      <c r="B832" s="18"/>
      <c r="C832" s="18"/>
    </row>
    <row r="833" customFormat="false" ht="15.75" hidden="false" customHeight="false" outlineLevel="0" collapsed="false">
      <c r="B833" s="18"/>
      <c r="C833" s="18"/>
    </row>
    <row r="834" customFormat="false" ht="15.75" hidden="false" customHeight="false" outlineLevel="0" collapsed="false">
      <c r="B834" s="18"/>
      <c r="C834" s="18"/>
    </row>
    <row r="835" customFormat="false" ht="15.75" hidden="false" customHeight="false" outlineLevel="0" collapsed="false">
      <c r="B835" s="18"/>
      <c r="C835" s="18"/>
    </row>
    <row r="836" customFormat="false" ht="15.75" hidden="false" customHeight="false" outlineLevel="0" collapsed="false">
      <c r="B836" s="18"/>
      <c r="C836" s="18"/>
    </row>
    <row r="837" customFormat="false" ht="15.75" hidden="false" customHeight="false" outlineLevel="0" collapsed="false">
      <c r="B837" s="18"/>
      <c r="C837" s="18"/>
    </row>
    <row r="838" customFormat="false" ht="15.75" hidden="false" customHeight="false" outlineLevel="0" collapsed="false">
      <c r="B838" s="18"/>
      <c r="C838" s="18"/>
    </row>
    <row r="839" customFormat="false" ht="15.75" hidden="false" customHeight="false" outlineLevel="0" collapsed="false">
      <c r="B839" s="18"/>
      <c r="C839" s="18"/>
    </row>
    <row r="840" customFormat="false" ht="15.75" hidden="false" customHeight="false" outlineLevel="0" collapsed="false">
      <c r="B840" s="18"/>
      <c r="C840" s="18"/>
    </row>
    <row r="841" customFormat="false" ht="15.75" hidden="false" customHeight="false" outlineLevel="0" collapsed="false">
      <c r="B841" s="18"/>
      <c r="C841" s="18"/>
    </row>
    <row r="842" customFormat="false" ht="15.75" hidden="false" customHeight="false" outlineLevel="0" collapsed="false">
      <c r="B842" s="18"/>
      <c r="C842" s="18"/>
    </row>
    <row r="843" customFormat="false" ht="15.75" hidden="false" customHeight="false" outlineLevel="0" collapsed="false">
      <c r="B843" s="18"/>
      <c r="C843" s="18"/>
    </row>
    <row r="844" customFormat="false" ht="15.75" hidden="false" customHeight="false" outlineLevel="0" collapsed="false">
      <c r="B844" s="18"/>
      <c r="C844" s="18"/>
    </row>
    <row r="845" customFormat="false" ht="15.75" hidden="false" customHeight="false" outlineLevel="0" collapsed="false">
      <c r="B845" s="18"/>
      <c r="C845" s="18"/>
    </row>
    <row r="846" customFormat="false" ht="15.75" hidden="false" customHeight="false" outlineLevel="0" collapsed="false">
      <c r="B846" s="18"/>
      <c r="C846" s="18"/>
    </row>
    <row r="847" customFormat="false" ht="15.75" hidden="false" customHeight="false" outlineLevel="0" collapsed="false">
      <c r="B847" s="18"/>
      <c r="C847" s="18"/>
    </row>
    <row r="848" customFormat="false" ht="15.75" hidden="false" customHeight="false" outlineLevel="0" collapsed="false">
      <c r="B848" s="18"/>
      <c r="C848" s="18"/>
    </row>
    <row r="849" customFormat="false" ht="15.75" hidden="false" customHeight="false" outlineLevel="0" collapsed="false">
      <c r="B849" s="18"/>
      <c r="C849" s="18"/>
    </row>
    <row r="850" customFormat="false" ht="15.75" hidden="false" customHeight="false" outlineLevel="0" collapsed="false">
      <c r="B850" s="18"/>
      <c r="C850" s="18"/>
    </row>
    <row r="851" customFormat="false" ht="15.75" hidden="false" customHeight="false" outlineLevel="0" collapsed="false">
      <c r="B851" s="18"/>
      <c r="C851" s="18"/>
    </row>
    <row r="852" customFormat="false" ht="15.75" hidden="false" customHeight="false" outlineLevel="0" collapsed="false">
      <c r="B852" s="18"/>
      <c r="C852" s="18"/>
    </row>
    <row r="853" customFormat="false" ht="15.75" hidden="false" customHeight="false" outlineLevel="0" collapsed="false">
      <c r="B853" s="18"/>
      <c r="C853" s="18"/>
    </row>
    <row r="854" customFormat="false" ht="15.75" hidden="false" customHeight="false" outlineLevel="0" collapsed="false">
      <c r="B854" s="18"/>
      <c r="C854" s="18"/>
    </row>
    <row r="855" customFormat="false" ht="15.75" hidden="false" customHeight="false" outlineLevel="0" collapsed="false">
      <c r="B855" s="18"/>
      <c r="C855" s="18"/>
    </row>
    <row r="856" customFormat="false" ht="15.75" hidden="false" customHeight="false" outlineLevel="0" collapsed="false">
      <c r="B856" s="18"/>
      <c r="C856" s="18"/>
    </row>
    <row r="857" customFormat="false" ht="15.75" hidden="false" customHeight="false" outlineLevel="0" collapsed="false">
      <c r="B857" s="18"/>
      <c r="C857" s="18"/>
    </row>
    <row r="858" customFormat="false" ht="15.75" hidden="false" customHeight="false" outlineLevel="0" collapsed="false">
      <c r="B858" s="18"/>
      <c r="C858" s="18"/>
    </row>
    <row r="859" customFormat="false" ht="15.75" hidden="false" customHeight="false" outlineLevel="0" collapsed="false">
      <c r="B859" s="18"/>
      <c r="C859" s="18"/>
    </row>
    <row r="860" customFormat="false" ht="15.75" hidden="false" customHeight="false" outlineLevel="0" collapsed="false">
      <c r="B860" s="18"/>
      <c r="C860" s="18"/>
    </row>
    <row r="861" customFormat="false" ht="15.75" hidden="false" customHeight="false" outlineLevel="0" collapsed="false">
      <c r="B861" s="18"/>
      <c r="C861" s="18"/>
    </row>
    <row r="862" customFormat="false" ht="15.75" hidden="false" customHeight="false" outlineLevel="0" collapsed="false">
      <c r="B862" s="18"/>
      <c r="C862" s="18"/>
    </row>
    <row r="863" customFormat="false" ht="15.75" hidden="false" customHeight="false" outlineLevel="0" collapsed="false">
      <c r="B863" s="18"/>
      <c r="C863" s="18"/>
    </row>
    <row r="864" customFormat="false" ht="15.75" hidden="false" customHeight="false" outlineLevel="0" collapsed="false">
      <c r="B864" s="18"/>
      <c r="C864" s="18"/>
    </row>
    <row r="865" customFormat="false" ht="15.75" hidden="false" customHeight="false" outlineLevel="0" collapsed="false">
      <c r="B865" s="18"/>
      <c r="C865" s="18"/>
    </row>
    <row r="866" customFormat="false" ht="15.75" hidden="false" customHeight="false" outlineLevel="0" collapsed="false">
      <c r="B866" s="18"/>
      <c r="C866" s="18"/>
    </row>
    <row r="867" customFormat="false" ht="15.75" hidden="false" customHeight="false" outlineLevel="0" collapsed="false">
      <c r="B867" s="18"/>
      <c r="C867" s="18"/>
    </row>
    <row r="868" customFormat="false" ht="15.75" hidden="false" customHeight="false" outlineLevel="0" collapsed="false">
      <c r="B868" s="18"/>
      <c r="C868" s="18"/>
    </row>
    <row r="869" customFormat="false" ht="15.75" hidden="false" customHeight="false" outlineLevel="0" collapsed="false">
      <c r="B869" s="18"/>
      <c r="C869" s="18"/>
    </row>
    <row r="870" customFormat="false" ht="15.75" hidden="false" customHeight="false" outlineLevel="0" collapsed="false">
      <c r="B870" s="18"/>
      <c r="C870" s="18"/>
    </row>
    <row r="871" customFormat="false" ht="15.75" hidden="false" customHeight="false" outlineLevel="0" collapsed="false">
      <c r="B871" s="18"/>
      <c r="C871" s="18"/>
    </row>
    <row r="872" customFormat="false" ht="15.75" hidden="false" customHeight="false" outlineLevel="0" collapsed="false">
      <c r="B872" s="18"/>
      <c r="C872" s="18"/>
    </row>
    <row r="873" customFormat="false" ht="15.75" hidden="false" customHeight="false" outlineLevel="0" collapsed="false">
      <c r="B873" s="18"/>
      <c r="C873" s="18"/>
    </row>
    <row r="874" customFormat="false" ht="15.75" hidden="false" customHeight="false" outlineLevel="0" collapsed="false">
      <c r="B874" s="18"/>
      <c r="C874" s="18"/>
    </row>
    <row r="875" customFormat="false" ht="15.75" hidden="false" customHeight="false" outlineLevel="0" collapsed="false">
      <c r="B875" s="18"/>
      <c r="C875" s="18"/>
    </row>
    <row r="876" customFormat="false" ht="15.75" hidden="false" customHeight="false" outlineLevel="0" collapsed="false">
      <c r="B876" s="18"/>
      <c r="C876" s="18"/>
    </row>
    <row r="877" customFormat="false" ht="15.75" hidden="false" customHeight="false" outlineLevel="0" collapsed="false">
      <c r="B877" s="18"/>
      <c r="C877" s="18"/>
    </row>
    <row r="878" customFormat="false" ht="15.75" hidden="false" customHeight="false" outlineLevel="0" collapsed="false">
      <c r="B878" s="18"/>
      <c r="C878" s="18"/>
    </row>
    <row r="879" customFormat="false" ht="15.75" hidden="false" customHeight="false" outlineLevel="0" collapsed="false">
      <c r="B879" s="18"/>
      <c r="C879" s="18"/>
    </row>
    <row r="880" customFormat="false" ht="15.75" hidden="false" customHeight="false" outlineLevel="0" collapsed="false">
      <c r="B880" s="18"/>
      <c r="C880" s="18"/>
    </row>
    <row r="881" customFormat="false" ht="15.75" hidden="false" customHeight="false" outlineLevel="0" collapsed="false">
      <c r="B881" s="18"/>
      <c r="C881" s="18"/>
    </row>
    <row r="882" customFormat="false" ht="15.75" hidden="false" customHeight="false" outlineLevel="0" collapsed="false">
      <c r="B882" s="18"/>
      <c r="C882" s="18"/>
    </row>
    <row r="883" customFormat="false" ht="15.75" hidden="false" customHeight="false" outlineLevel="0" collapsed="false">
      <c r="B883" s="18"/>
      <c r="C883" s="18"/>
    </row>
    <row r="884" customFormat="false" ht="15.75" hidden="false" customHeight="false" outlineLevel="0" collapsed="false">
      <c r="B884" s="18"/>
      <c r="C884" s="18"/>
    </row>
    <row r="885" customFormat="false" ht="15.75" hidden="false" customHeight="false" outlineLevel="0" collapsed="false">
      <c r="B885" s="18"/>
      <c r="C885" s="18"/>
    </row>
    <row r="886" customFormat="false" ht="15.75" hidden="false" customHeight="false" outlineLevel="0" collapsed="false">
      <c r="B886" s="18"/>
      <c r="C886" s="18"/>
    </row>
    <row r="887" customFormat="false" ht="15.75" hidden="false" customHeight="false" outlineLevel="0" collapsed="false">
      <c r="B887" s="18"/>
      <c r="C887" s="18"/>
    </row>
    <row r="888" customFormat="false" ht="15.75" hidden="false" customHeight="false" outlineLevel="0" collapsed="false">
      <c r="B888" s="18"/>
      <c r="C888" s="18"/>
    </row>
    <row r="889" customFormat="false" ht="15.75" hidden="false" customHeight="false" outlineLevel="0" collapsed="false">
      <c r="B889" s="18"/>
      <c r="C889" s="18"/>
    </row>
    <row r="890" customFormat="false" ht="15.75" hidden="false" customHeight="false" outlineLevel="0" collapsed="false">
      <c r="B890" s="18"/>
      <c r="C890" s="18"/>
    </row>
    <row r="891" customFormat="false" ht="15.75" hidden="false" customHeight="false" outlineLevel="0" collapsed="false">
      <c r="B891" s="18"/>
      <c r="C891" s="18"/>
    </row>
    <row r="892" customFormat="false" ht="15.75" hidden="false" customHeight="false" outlineLevel="0" collapsed="false">
      <c r="B892" s="18"/>
      <c r="C892" s="18"/>
    </row>
    <row r="893" customFormat="false" ht="15.75" hidden="false" customHeight="false" outlineLevel="0" collapsed="false">
      <c r="B893" s="18"/>
      <c r="C893" s="18"/>
    </row>
    <row r="894" customFormat="false" ht="15.75" hidden="false" customHeight="false" outlineLevel="0" collapsed="false">
      <c r="B894" s="18"/>
      <c r="C894" s="18"/>
    </row>
    <row r="895" customFormat="false" ht="15.75" hidden="false" customHeight="false" outlineLevel="0" collapsed="false">
      <c r="B895" s="18"/>
      <c r="C895" s="18"/>
    </row>
    <row r="896" customFormat="false" ht="15.75" hidden="false" customHeight="false" outlineLevel="0" collapsed="false">
      <c r="B896" s="18"/>
      <c r="C896" s="18"/>
    </row>
    <row r="897" customFormat="false" ht="15.75" hidden="false" customHeight="false" outlineLevel="0" collapsed="false">
      <c r="B897" s="18"/>
      <c r="C897" s="18"/>
    </row>
    <row r="898" customFormat="false" ht="15.75" hidden="false" customHeight="false" outlineLevel="0" collapsed="false">
      <c r="B898" s="18"/>
      <c r="C898" s="18"/>
    </row>
    <row r="899" customFormat="false" ht="15.75" hidden="false" customHeight="false" outlineLevel="0" collapsed="false">
      <c r="B899" s="18"/>
      <c r="C899" s="18"/>
    </row>
    <row r="900" customFormat="false" ht="15.75" hidden="false" customHeight="false" outlineLevel="0" collapsed="false">
      <c r="B900" s="18"/>
      <c r="C900" s="18"/>
    </row>
    <row r="901" customFormat="false" ht="15.75" hidden="false" customHeight="false" outlineLevel="0" collapsed="false">
      <c r="B901" s="18"/>
      <c r="C901" s="18"/>
    </row>
    <row r="902" customFormat="false" ht="15.75" hidden="false" customHeight="false" outlineLevel="0" collapsed="false">
      <c r="B902" s="18"/>
      <c r="C902" s="18"/>
    </row>
    <row r="903" customFormat="false" ht="15.75" hidden="false" customHeight="false" outlineLevel="0" collapsed="false">
      <c r="B903" s="18"/>
      <c r="C903" s="18"/>
    </row>
    <row r="904" customFormat="false" ht="15.75" hidden="false" customHeight="false" outlineLevel="0" collapsed="false">
      <c r="B904" s="18"/>
      <c r="C904" s="18"/>
    </row>
    <row r="905" customFormat="false" ht="15.75" hidden="false" customHeight="false" outlineLevel="0" collapsed="false">
      <c r="B905" s="18"/>
      <c r="C905" s="18"/>
    </row>
    <row r="906" customFormat="false" ht="15.75" hidden="false" customHeight="false" outlineLevel="0" collapsed="false">
      <c r="B906" s="18"/>
      <c r="C906" s="18"/>
    </row>
    <row r="907" customFormat="false" ht="15.75" hidden="false" customHeight="false" outlineLevel="0" collapsed="false">
      <c r="B907" s="18"/>
      <c r="C907" s="18"/>
    </row>
    <row r="908" customFormat="false" ht="15.75" hidden="false" customHeight="false" outlineLevel="0" collapsed="false">
      <c r="B908" s="18"/>
      <c r="C908" s="18"/>
    </row>
    <row r="909" customFormat="false" ht="15.75" hidden="false" customHeight="false" outlineLevel="0" collapsed="false">
      <c r="B909" s="18"/>
      <c r="C909" s="18"/>
    </row>
    <row r="910" customFormat="false" ht="15.75" hidden="false" customHeight="false" outlineLevel="0" collapsed="false">
      <c r="B910" s="18"/>
      <c r="C910" s="18"/>
    </row>
    <row r="911" customFormat="false" ht="15.75" hidden="false" customHeight="false" outlineLevel="0" collapsed="false">
      <c r="B911" s="18"/>
      <c r="C911" s="18"/>
    </row>
    <row r="912" customFormat="false" ht="15.75" hidden="false" customHeight="false" outlineLevel="0" collapsed="false">
      <c r="B912" s="18"/>
      <c r="C912" s="18"/>
    </row>
    <row r="913" customFormat="false" ht="15.75" hidden="false" customHeight="false" outlineLevel="0" collapsed="false">
      <c r="B913" s="18"/>
      <c r="C913" s="18"/>
    </row>
    <row r="914" customFormat="false" ht="15.75" hidden="false" customHeight="false" outlineLevel="0" collapsed="false">
      <c r="B914" s="18"/>
      <c r="C914" s="18"/>
    </row>
    <row r="915" customFormat="false" ht="15.75" hidden="false" customHeight="false" outlineLevel="0" collapsed="false">
      <c r="B915" s="18"/>
      <c r="C915" s="18"/>
    </row>
    <row r="916" customFormat="false" ht="15.75" hidden="false" customHeight="false" outlineLevel="0" collapsed="false">
      <c r="B916" s="18"/>
      <c r="C916" s="18"/>
    </row>
    <row r="917" customFormat="false" ht="15.75" hidden="false" customHeight="false" outlineLevel="0" collapsed="false">
      <c r="B917" s="18"/>
      <c r="C917" s="18"/>
    </row>
    <row r="918" customFormat="false" ht="15.75" hidden="false" customHeight="false" outlineLevel="0" collapsed="false">
      <c r="B918" s="18"/>
      <c r="C918" s="18"/>
    </row>
    <row r="919" customFormat="false" ht="15.75" hidden="false" customHeight="false" outlineLevel="0" collapsed="false">
      <c r="B919" s="18"/>
      <c r="C919" s="18"/>
    </row>
    <row r="920" customFormat="false" ht="15.75" hidden="false" customHeight="false" outlineLevel="0" collapsed="false">
      <c r="B920" s="18"/>
      <c r="C920" s="18"/>
    </row>
    <row r="921" customFormat="false" ht="15.75" hidden="false" customHeight="false" outlineLevel="0" collapsed="false">
      <c r="B921" s="18"/>
      <c r="C921" s="18"/>
    </row>
    <row r="922" customFormat="false" ht="15.75" hidden="false" customHeight="false" outlineLevel="0" collapsed="false">
      <c r="B922" s="18"/>
      <c r="C922" s="18"/>
    </row>
    <row r="923" customFormat="false" ht="15.75" hidden="false" customHeight="false" outlineLevel="0" collapsed="false">
      <c r="B923" s="18"/>
      <c r="C923" s="18"/>
    </row>
    <row r="924" customFormat="false" ht="15.75" hidden="false" customHeight="false" outlineLevel="0" collapsed="false">
      <c r="B924" s="18"/>
      <c r="C924" s="18"/>
    </row>
    <row r="925" customFormat="false" ht="15.75" hidden="false" customHeight="false" outlineLevel="0" collapsed="false">
      <c r="B925" s="18"/>
      <c r="C925" s="18"/>
    </row>
    <row r="926" customFormat="false" ht="15.75" hidden="false" customHeight="false" outlineLevel="0" collapsed="false">
      <c r="B926" s="18"/>
      <c r="C926" s="18"/>
    </row>
    <row r="927" customFormat="false" ht="15.75" hidden="false" customHeight="false" outlineLevel="0" collapsed="false">
      <c r="B927" s="18"/>
      <c r="C927" s="18"/>
    </row>
    <row r="928" customFormat="false" ht="15.75" hidden="false" customHeight="false" outlineLevel="0" collapsed="false">
      <c r="B928" s="18"/>
      <c r="C928" s="18"/>
    </row>
    <row r="929" customFormat="false" ht="15.75" hidden="false" customHeight="false" outlineLevel="0" collapsed="false">
      <c r="B929" s="18"/>
      <c r="C929" s="18"/>
    </row>
    <row r="930" customFormat="false" ht="15.75" hidden="false" customHeight="false" outlineLevel="0" collapsed="false">
      <c r="B930" s="18"/>
      <c r="C930" s="18"/>
    </row>
    <row r="931" customFormat="false" ht="15.75" hidden="false" customHeight="false" outlineLevel="0" collapsed="false">
      <c r="B931" s="18"/>
      <c r="C931" s="18"/>
    </row>
    <row r="932" customFormat="false" ht="15.75" hidden="false" customHeight="false" outlineLevel="0" collapsed="false">
      <c r="B932" s="18"/>
      <c r="C932" s="18"/>
    </row>
    <row r="933" customFormat="false" ht="15.75" hidden="false" customHeight="false" outlineLevel="0" collapsed="false">
      <c r="B933" s="18"/>
      <c r="C933" s="18"/>
    </row>
    <row r="934" customFormat="false" ht="15.75" hidden="false" customHeight="false" outlineLevel="0" collapsed="false">
      <c r="B934" s="18"/>
      <c r="C934" s="18"/>
    </row>
    <row r="935" customFormat="false" ht="15.75" hidden="false" customHeight="false" outlineLevel="0" collapsed="false">
      <c r="B935" s="18"/>
      <c r="C935" s="18"/>
    </row>
    <row r="936" customFormat="false" ht="15.75" hidden="false" customHeight="false" outlineLevel="0" collapsed="false">
      <c r="B936" s="18"/>
      <c r="C936" s="18"/>
    </row>
    <row r="937" customFormat="false" ht="15.75" hidden="false" customHeight="false" outlineLevel="0" collapsed="false">
      <c r="B937" s="18"/>
      <c r="C937" s="18"/>
    </row>
    <row r="938" customFormat="false" ht="15.75" hidden="false" customHeight="false" outlineLevel="0" collapsed="false">
      <c r="B938" s="18"/>
      <c r="C938" s="18"/>
    </row>
    <row r="939" customFormat="false" ht="15.75" hidden="false" customHeight="false" outlineLevel="0" collapsed="false">
      <c r="B939" s="18"/>
      <c r="C939" s="18"/>
    </row>
    <row r="940" customFormat="false" ht="15.75" hidden="false" customHeight="false" outlineLevel="0" collapsed="false">
      <c r="B940" s="18"/>
      <c r="C940" s="18"/>
    </row>
    <row r="941" customFormat="false" ht="15.75" hidden="false" customHeight="false" outlineLevel="0" collapsed="false">
      <c r="B941" s="18"/>
      <c r="C941" s="18"/>
    </row>
    <row r="942" customFormat="false" ht="15.75" hidden="false" customHeight="false" outlineLevel="0" collapsed="false">
      <c r="B942" s="18"/>
      <c r="C942" s="18"/>
    </row>
    <row r="943" customFormat="false" ht="15.75" hidden="false" customHeight="false" outlineLevel="0" collapsed="false">
      <c r="B943" s="18"/>
      <c r="C943" s="18"/>
    </row>
    <row r="944" customFormat="false" ht="15.75" hidden="false" customHeight="false" outlineLevel="0" collapsed="false">
      <c r="B944" s="18"/>
      <c r="C944" s="18"/>
    </row>
    <row r="945" customFormat="false" ht="15.75" hidden="false" customHeight="false" outlineLevel="0" collapsed="false">
      <c r="B945" s="18"/>
      <c r="C945" s="18"/>
    </row>
    <row r="946" customFormat="false" ht="15.75" hidden="false" customHeight="false" outlineLevel="0" collapsed="false">
      <c r="B946" s="18"/>
      <c r="C946" s="18"/>
    </row>
    <row r="947" customFormat="false" ht="15.75" hidden="false" customHeight="false" outlineLevel="0" collapsed="false">
      <c r="B947" s="18"/>
      <c r="C947" s="18"/>
    </row>
    <row r="948" customFormat="false" ht="15.75" hidden="false" customHeight="false" outlineLevel="0" collapsed="false">
      <c r="B948" s="18"/>
      <c r="C948" s="18"/>
    </row>
    <row r="949" customFormat="false" ht="15.75" hidden="false" customHeight="false" outlineLevel="0" collapsed="false">
      <c r="B949" s="18"/>
      <c r="C949" s="18"/>
    </row>
    <row r="950" customFormat="false" ht="15.75" hidden="false" customHeight="false" outlineLevel="0" collapsed="false">
      <c r="B950" s="18"/>
      <c r="C950" s="18"/>
    </row>
    <row r="951" customFormat="false" ht="15.75" hidden="false" customHeight="false" outlineLevel="0" collapsed="false">
      <c r="B951" s="18"/>
      <c r="C951" s="18"/>
    </row>
    <row r="952" customFormat="false" ht="15.75" hidden="false" customHeight="false" outlineLevel="0" collapsed="false">
      <c r="B952" s="18"/>
      <c r="C952" s="18"/>
    </row>
    <row r="953" customFormat="false" ht="15.75" hidden="false" customHeight="false" outlineLevel="0" collapsed="false">
      <c r="B953" s="18"/>
      <c r="C953" s="18"/>
    </row>
    <row r="954" customFormat="false" ht="15.75" hidden="false" customHeight="false" outlineLevel="0" collapsed="false">
      <c r="B954" s="18"/>
      <c r="C954" s="18"/>
    </row>
    <row r="955" customFormat="false" ht="15.75" hidden="false" customHeight="false" outlineLevel="0" collapsed="false">
      <c r="B955" s="18"/>
      <c r="C955" s="18"/>
    </row>
    <row r="956" customFormat="false" ht="15.75" hidden="false" customHeight="false" outlineLevel="0" collapsed="false">
      <c r="B956" s="18"/>
      <c r="C956" s="18"/>
    </row>
    <row r="957" customFormat="false" ht="15.75" hidden="false" customHeight="false" outlineLevel="0" collapsed="false">
      <c r="B957" s="18"/>
      <c r="C957" s="18"/>
    </row>
    <row r="958" customFormat="false" ht="15.75" hidden="false" customHeight="false" outlineLevel="0" collapsed="false">
      <c r="B958" s="18"/>
      <c r="C958" s="18"/>
    </row>
    <row r="959" customFormat="false" ht="15.75" hidden="false" customHeight="false" outlineLevel="0" collapsed="false">
      <c r="B959" s="18"/>
      <c r="C959" s="18"/>
    </row>
    <row r="960" customFormat="false" ht="15.75" hidden="false" customHeight="false" outlineLevel="0" collapsed="false">
      <c r="B960" s="18"/>
      <c r="C960" s="18"/>
    </row>
    <row r="961" customFormat="false" ht="15.75" hidden="false" customHeight="false" outlineLevel="0" collapsed="false">
      <c r="B961" s="18"/>
      <c r="C961" s="18"/>
    </row>
    <row r="962" customFormat="false" ht="15.75" hidden="false" customHeight="false" outlineLevel="0" collapsed="false">
      <c r="B962" s="18"/>
      <c r="C962" s="18"/>
    </row>
    <row r="963" customFormat="false" ht="15.75" hidden="false" customHeight="false" outlineLevel="0" collapsed="false">
      <c r="B963" s="18"/>
      <c r="C963" s="18"/>
    </row>
    <row r="964" customFormat="false" ht="15.75" hidden="false" customHeight="false" outlineLevel="0" collapsed="false">
      <c r="B964" s="18"/>
      <c r="C964" s="18"/>
    </row>
    <row r="965" customFormat="false" ht="15.75" hidden="false" customHeight="false" outlineLevel="0" collapsed="false">
      <c r="B965" s="18"/>
      <c r="C965" s="18"/>
    </row>
    <row r="966" customFormat="false" ht="15.75" hidden="false" customHeight="false" outlineLevel="0" collapsed="false">
      <c r="B966" s="18"/>
      <c r="C966" s="18"/>
    </row>
    <row r="967" customFormat="false" ht="15.75" hidden="false" customHeight="false" outlineLevel="0" collapsed="false">
      <c r="B967" s="18"/>
      <c r="C967" s="18"/>
    </row>
    <row r="968" customFormat="false" ht="15.75" hidden="false" customHeight="false" outlineLevel="0" collapsed="false">
      <c r="B968" s="18"/>
      <c r="C968" s="18"/>
    </row>
    <row r="969" customFormat="false" ht="15.75" hidden="false" customHeight="false" outlineLevel="0" collapsed="false">
      <c r="B969" s="18"/>
      <c r="C969" s="18"/>
    </row>
    <row r="970" customFormat="false" ht="15.75" hidden="false" customHeight="false" outlineLevel="0" collapsed="false">
      <c r="B970" s="18"/>
      <c r="C970" s="18"/>
    </row>
    <row r="971" customFormat="false" ht="15.75" hidden="false" customHeight="false" outlineLevel="0" collapsed="false">
      <c r="B971" s="18"/>
      <c r="C971" s="18"/>
    </row>
    <row r="972" customFormat="false" ht="15.75" hidden="false" customHeight="false" outlineLevel="0" collapsed="false">
      <c r="B972" s="18"/>
      <c r="C972" s="18"/>
    </row>
    <row r="973" customFormat="false" ht="15.75" hidden="false" customHeight="false" outlineLevel="0" collapsed="false">
      <c r="B973" s="18"/>
      <c r="C973" s="18"/>
    </row>
    <row r="974" customFormat="false" ht="15.75" hidden="false" customHeight="false" outlineLevel="0" collapsed="false">
      <c r="B974" s="18"/>
      <c r="C974" s="18"/>
    </row>
    <row r="975" customFormat="false" ht="15.75" hidden="false" customHeight="false" outlineLevel="0" collapsed="false">
      <c r="B975" s="18"/>
      <c r="C975" s="18"/>
    </row>
    <row r="976" customFormat="false" ht="15.75" hidden="false" customHeight="false" outlineLevel="0" collapsed="false">
      <c r="B976" s="18"/>
      <c r="C976" s="18"/>
    </row>
    <row r="977" customFormat="false" ht="15.75" hidden="false" customHeight="false" outlineLevel="0" collapsed="false">
      <c r="B977" s="18"/>
      <c r="C977" s="18"/>
    </row>
    <row r="978" customFormat="false" ht="15.75" hidden="false" customHeight="false" outlineLevel="0" collapsed="false">
      <c r="B978" s="18"/>
      <c r="C978" s="18"/>
    </row>
    <row r="979" customFormat="false" ht="15.75" hidden="false" customHeight="false" outlineLevel="0" collapsed="false">
      <c r="B979" s="18"/>
      <c r="C979" s="18"/>
    </row>
    <row r="980" customFormat="false" ht="15.75" hidden="false" customHeight="false" outlineLevel="0" collapsed="false">
      <c r="B980" s="18"/>
      <c r="C980" s="18"/>
    </row>
    <row r="981" customFormat="false" ht="15.75" hidden="false" customHeight="false" outlineLevel="0" collapsed="false">
      <c r="B981" s="18"/>
      <c r="C981" s="18"/>
    </row>
    <row r="982" customFormat="false" ht="15.75" hidden="false" customHeight="false" outlineLevel="0" collapsed="false">
      <c r="B982" s="18"/>
      <c r="C982" s="18"/>
    </row>
    <row r="983" customFormat="false" ht="15.75" hidden="false" customHeight="false" outlineLevel="0" collapsed="false">
      <c r="B983" s="18"/>
      <c r="C983" s="18"/>
    </row>
    <row r="984" customFormat="false" ht="15.75" hidden="false" customHeight="false" outlineLevel="0" collapsed="false">
      <c r="B984" s="18"/>
      <c r="C984" s="18"/>
    </row>
    <row r="985" customFormat="false" ht="15.75" hidden="false" customHeight="false" outlineLevel="0" collapsed="false">
      <c r="B985" s="18"/>
      <c r="C985" s="18"/>
    </row>
    <row r="986" customFormat="false" ht="15.75" hidden="false" customHeight="false" outlineLevel="0" collapsed="false">
      <c r="B986" s="18"/>
      <c r="C986" s="18"/>
    </row>
    <row r="987" customFormat="false" ht="15.75" hidden="false" customHeight="false" outlineLevel="0" collapsed="false">
      <c r="B987" s="18"/>
      <c r="C987" s="18"/>
    </row>
    <row r="988" customFormat="false" ht="15.75" hidden="false" customHeight="false" outlineLevel="0" collapsed="false">
      <c r="B988" s="18"/>
      <c r="C988" s="18"/>
    </row>
    <row r="989" customFormat="false" ht="15.75" hidden="false" customHeight="false" outlineLevel="0" collapsed="false">
      <c r="B989" s="18"/>
      <c r="C989" s="18"/>
    </row>
    <row r="990" customFormat="false" ht="15.75" hidden="false" customHeight="false" outlineLevel="0" collapsed="false">
      <c r="B990" s="18"/>
      <c r="C990" s="18"/>
    </row>
    <row r="991" customFormat="false" ht="15.75" hidden="false" customHeight="false" outlineLevel="0" collapsed="false">
      <c r="B991" s="18"/>
      <c r="C991" s="18"/>
    </row>
    <row r="992" customFormat="false" ht="15.75" hidden="false" customHeight="false" outlineLevel="0" collapsed="false">
      <c r="B992" s="18"/>
      <c r="C992" s="18"/>
    </row>
    <row r="993" customFormat="false" ht="15.75" hidden="false" customHeight="false" outlineLevel="0" collapsed="false">
      <c r="B993" s="18"/>
      <c r="C993" s="18"/>
    </row>
    <row r="994" customFormat="false" ht="15.75" hidden="false" customHeight="false" outlineLevel="0" collapsed="false">
      <c r="B994" s="18"/>
      <c r="C994" s="18"/>
    </row>
    <row r="995" customFormat="false" ht="15.75" hidden="false" customHeight="false" outlineLevel="0" collapsed="false">
      <c r="B995" s="18"/>
      <c r="C995" s="18"/>
    </row>
    <row r="996" customFormat="false" ht="15.75" hidden="false" customHeight="false" outlineLevel="0" collapsed="false">
      <c r="B996" s="18"/>
      <c r="C996" s="18"/>
    </row>
    <row r="997" customFormat="false" ht="15.75" hidden="false" customHeight="false" outlineLevel="0" collapsed="false">
      <c r="B997" s="18"/>
      <c r="C997" s="18"/>
    </row>
    <row r="998" customFormat="false" ht="15.75" hidden="false" customHeight="false" outlineLevel="0" collapsed="false">
      <c r="B998" s="18"/>
      <c r="C998" s="18"/>
    </row>
    <row r="999" customFormat="false" ht="15.75" hidden="false" customHeight="false" outlineLevel="0" collapsed="false">
      <c r="B999" s="18"/>
      <c r="C999" s="18"/>
    </row>
    <row r="1000" customFormat="false" ht="15.75" hidden="false" customHeight="false" outlineLevel="0" collapsed="false">
      <c r="B1000" s="18"/>
      <c r="C1000" s="1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2026-10-29T11:40:50Z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